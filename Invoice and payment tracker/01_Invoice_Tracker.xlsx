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 - Excel Projects\"/>
    </mc:Choice>
  </mc:AlternateContent>
  <xr:revisionPtr revIDLastSave="0" documentId="13_ncr:1_{DAF04E26-02FA-48C2-BDD9-52DB6B8530D7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2" sheetId="7" r:id="rId1"/>
    <sheet name="Invoice Tracker" sheetId="2" r:id="rId2"/>
    <sheet name="Client Summary" sheetId="6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H2" i="2"/>
</calcChain>
</file>

<file path=xl/sharedStrings.xml><?xml version="1.0" encoding="utf-8"?>
<sst xmlns="http://schemas.openxmlformats.org/spreadsheetml/2006/main" count="300" uniqueCount="162">
  <si>
    <t>2025-01-01</t>
  </si>
  <si>
    <t>2025-01-31</t>
  </si>
  <si>
    <t>2025-02-05</t>
  </si>
  <si>
    <t>2025-03-07</t>
  </si>
  <si>
    <t>2025-03-12</t>
  </si>
  <si>
    <t>2025-04-11</t>
  </si>
  <si>
    <t>2025-04-16</t>
  </si>
  <si>
    <t>2025-04-26</t>
  </si>
  <si>
    <t>2025-05-16</t>
  </si>
  <si>
    <t>2025-05-21</t>
  </si>
  <si>
    <t>2025-06-20</t>
  </si>
  <si>
    <t>2025-06-25</t>
  </si>
  <si>
    <t>2025-07-25</t>
  </si>
  <si>
    <t>2025-07-30</t>
  </si>
  <si>
    <t>2025-08-04</t>
  </si>
  <si>
    <t>2025-08-19</t>
  </si>
  <si>
    <t>2025-08-29</t>
  </si>
  <si>
    <t>2025-09-03</t>
  </si>
  <si>
    <t>Invoice ID</t>
  </si>
  <si>
    <t>Client Name</t>
  </si>
  <si>
    <t>Invoice Date</t>
  </si>
  <si>
    <t>Due Date</t>
  </si>
  <si>
    <t>Invoice Amount</t>
  </si>
  <si>
    <t>Paid Amount</t>
  </si>
  <si>
    <t>Payment Date</t>
  </si>
  <si>
    <t>INV-202501</t>
  </si>
  <si>
    <t>Acme Corp</t>
  </si>
  <si>
    <t>—</t>
  </si>
  <si>
    <t>Pending</t>
  </si>
  <si>
    <t>INV-202502</t>
  </si>
  <si>
    <t>Starlight Inc</t>
  </si>
  <si>
    <t>2025-01-08</t>
  </si>
  <si>
    <t>2025-02-07</t>
  </si>
  <si>
    <t>2025-01-28</t>
  </si>
  <si>
    <t>Paid</t>
  </si>
  <si>
    <t>INV-202503</t>
  </si>
  <si>
    <t>2025-01-15</t>
  </si>
  <si>
    <t>2025-02-14</t>
  </si>
  <si>
    <t>INV-202504</t>
  </si>
  <si>
    <t>Vanguard Ltd</t>
  </si>
  <si>
    <t>2025-01-22</t>
  </si>
  <si>
    <t>2025-02-21</t>
  </si>
  <si>
    <t>Overdue</t>
  </si>
  <si>
    <t>INV-202505</t>
  </si>
  <si>
    <t>2025-01-29</t>
  </si>
  <si>
    <t>2025-02-28</t>
  </si>
  <si>
    <t>INV-202506</t>
  </si>
  <si>
    <t>INV-202507</t>
  </si>
  <si>
    <t>Nexus Tech</t>
  </si>
  <si>
    <t>2025-02-12</t>
  </si>
  <si>
    <t>2025-03-14</t>
  </si>
  <si>
    <t>2025-02-19</t>
  </si>
  <si>
    <t>INV-202508</t>
  </si>
  <si>
    <t>2025-03-21</t>
  </si>
  <si>
    <t>2025-03-16</t>
  </si>
  <si>
    <t>INV-202509</t>
  </si>
  <si>
    <t>2025-02-26</t>
  </si>
  <si>
    <t>2025-03-28</t>
  </si>
  <si>
    <t>2025-03-20</t>
  </si>
  <si>
    <t>INV-202510</t>
  </si>
  <si>
    <t>2025-03-05</t>
  </si>
  <si>
    <t>2025-04-04</t>
  </si>
  <si>
    <t>INV-202511</t>
  </si>
  <si>
    <t>BlueSky Media</t>
  </si>
  <si>
    <t>2025-04-03</t>
  </si>
  <si>
    <t>INV-202512</t>
  </si>
  <si>
    <t>Apex Global</t>
  </si>
  <si>
    <t>2025-03-19</t>
  </si>
  <si>
    <t>2025-04-18</t>
  </si>
  <si>
    <t>2025-04-02</t>
  </si>
  <si>
    <t>INV-202513</t>
  </si>
  <si>
    <t>2025-03-26</t>
  </si>
  <si>
    <t>2025-04-25</t>
  </si>
  <si>
    <t>INV-202514</t>
  </si>
  <si>
    <t>2025-05-02</t>
  </si>
  <si>
    <t>INV-202515</t>
  </si>
  <si>
    <t>2025-04-09</t>
  </si>
  <si>
    <t>2025-05-09</t>
  </si>
  <si>
    <t>INV-202516</t>
  </si>
  <si>
    <t>2025-04-24</t>
  </si>
  <si>
    <t>INV-202517</t>
  </si>
  <si>
    <t>2025-04-23</t>
  </si>
  <si>
    <t>2025-05-23</t>
  </si>
  <si>
    <t>INV-202518</t>
  </si>
  <si>
    <t>2025-04-30</t>
  </si>
  <si>
    <t>2025-05-30</t>
  </si>
  <si>
    <t>INV-202519</t>
  </si>
  <si>
    <t>2025-05-07</t>
  </si>
  <si>
    <t>2025-06-06</t>
  </si>
  <si>
    <t>2025-06-02</t>
  </si>
  <si>
    <t>INV-202520</t>
  </si>
  <si>
    <t>2025-05-14</t>
  </si>
  <si>
    <t>2025-06-13</t>
  </si>
  <si>
    <t>2025-06-09</t>
  </si>
  <si>
    <t>INV-202521</t>
  </si>
  <si>
    <t>2025-06-14</t>
  </si>
  <si>
    <t>INV-202522</t>
  </si>
  <si>
    <t>2025-05-28</t>
  </si>
  <si>
    <t>2025-06-27</t>
  </si>
  <si>
    <t>2025-06-12</t>
  </si>
  <si>
    <t>INV-202523</t>
  </si>
  <si>
    <t>2025-06-04</t>
  </si>
  <si>
    <t>2025-07-04</t>
  </si>
  <si>
    <t>2025-06-29</t>
  </si>
  <si>
    <t>INV-202524</t>
  </si>
  <si>
    <t>2025-06-11</t>
  </si>
  <si>
    <t>2025-07-11</t>
  </si>
  <si>
    <t>INV-202525</t>
  </si>
  <si>
    <t>2025-06-18</t>
  </si>
  <si>
    <t>2025-07-18</t>
  </si>
  <si>
    <t>2025-07-12</t>
  </si>
  <si>
    <t>INV-202526</t>
  </si>
  <si>
    <t>INV-202527</t>
  </si>
  <si>
    <t>2025-07-02</t>
  </si>
  <si>
    <t>2025-08-01</t>
  </si>
  <si>
    <t>INV-202528</t>
  </si>
  <si>
    <t>2025-07-09</t>
  </si>
  <si>
    <t>2025-08-08</t>
  </si>
  <si>
    <t>INV-202529</t>
  </si>
  <si>
    <t>2025-07-16</t>
  </si>
  <si>
    <t>2025-08-15</t>
  </si>
  <si>
    <t>INV-202530</t>
  </si>
  <si>
    <t>2025-07-23</t>
  </si>
  <si>
    <t>2025-08-22</t>
  </si>
  <si>
    <t>INV-202531</t>
  </si>
  <si>
    <t>INV-202532</t>
  </si>
  <si>
    <t>2025-08-06</t>
  </si>
  <si>
    <t>2025-09-05</t>
  </si>
  <si>
    <t>2025-08-26</t>
  </si>
  <si>
    <t>INV-202533</t>
  </si>
  <si>
    <t>2025-08-13</t>
  </si>
  <si>
    <t>2025-09-12</t>
  </si>
  <si>
    <t>INV-202534</t>
  </si>
  <si>
    <t>2025-08-20</t>
  </si>
  <si>
    <t>2025-09-19</t>
  </si>
  <si>
    <t>INV-202535</t>
  </si>
  <si>
    <t>2025-08-27</t>
  </si>
  <si>
    <t>2025-09-26</t>
  </si>
  <si>
    <t>INV-202536</t>
  </si>
  <si>
    <t>2025-10-03</t>
  </si>
  <si>
    <t>2025-09-29</t>
  </si>
  <si>
    <t>INV-202537</t>
  </si>
  <si>
    <t>2025-09-10</t>
  </si>
  <si>
    <t>2025-10-10</t>
  </si>
  <si>
    <t>INV-202538</t>
  </si>
  <si>
    <t>2025-09-17</t>
  </si>
  <si>
    <t>2025-10-17</t>
  </si>
  <si>
    <t>INV-202539</t>
  </si>
  <si>
    <t>2025-09-24</t>
  </si>
  <si>
    <t>2025-10-24</t>
  </si>
  <si>
    <t>2025-10-14</t>
  </si>
  <si>
    <t>INV-202540</t>
  </si>
  <si>
    <t>2025-10-01</t>
  </si>
  <si>
    <t>2025-10-31</t>
  </si>
  <si>
    <t>0</t>
  </si>
  <si>
    <t>Total Billed</t>
  </si>
  <si>
    <t>Total Collected</t>
  </si>
  <si>
    <t>Total Outstanding</t>
  </si>
  <si>
    <t>Sum of Invoice Amount</t>
  </si>
  <si>
    <t>Sum of Paid Amount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</si>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</sst>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2E75B6"/>
        <bgColor rgb="FF2E75B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\$#,##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E75B6"/>
          <bgColor rgb="FF2E75B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[01_Invoice_Tracker.xlsx]Sheet2!PivotTable1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Invoice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Sheet2!$A$4:$A$50</c:f>
              <c:multiLvlStrCache>
                <c:ptCount val="40"/>
                <c:lvl>
                  <c:pt idx="0">
                    <c:v>2025-01-01</c:v>
                  </c:pt>
                  <c:pt idx="1">
                    <c:v>2025-01-15</c:v>
                  </c:pt>
                  <c:pt idx="2">
                    <c:v>2025-02-19</c:v>
                  </c:pt>
                  <c:pt idx="3">
                    <c:v>2025-02-26</c:v>
                  </c:pt>
                  <c:pt idx="4">
                    <c:v>2025-03-26</c:v>
                  </c:pt>
                  <c:pt idx="5">
                    <c:v>2025-07-23</c:v>
                  </c:pt>
                  <c:pt idx="6">
                    <c:v>2025-08-06</c:v>
                  </c:pt>
                  <c:pt idx="7">
                    <c:v>2025-08-13</c:v>
                  </c:pt>
                  <c:pt idx="8">
                    <c:v>2025-09-03</c:v>
                  </c:pt>
                  <c:pt idx="9">
                    <c:v>2025-09-10</c:v>
                  </c:pt>
                  <c:pt idx="10">
                    <c:v>2025-03-19</c:v>
                  </c:pt>
                  <c:pt idx="11">
                    <c:v>2025-04-02</c:v>
                  </c:pt>
                  <c:pt idx="12">
                    <c:v>2025-05-14</c:v>
                  </c:pt>
                  <c:pt idx="13">
                    <c:v>2025-05-21</c:v>
                  </c:pt>
                  <c:pt idx="14">
                    <c:v>2025-07-16</c:v>
                  </c:pt>
                  <c:pt idx="15">
                    <c:v>2025-07-30</c:v>
                  </c:pt>
                  <c:pt idx="16">
                    <c:v>2025-08-27</c:v>
                  </c:pt>
                  <c:pt idx="17">
                    <c:v>2025-10-01</c:v>
                  </c:pt>
                  <c:pt idx="18">
                    <c:v>2025-03-12</c:v>
                  </c:pt>
                  <c:pt idx="19">
                    <c:v>2025-04-23</c:v>
                  </c:pt>
                  <c:pt idx="20">
                    <c:v>2025-06-18</c:v>
                  </c:pt>
                  <c:pt idx="21">
                    <c:v>2025-08-20</c:v>
                  </c:pt>
                  <c:pt idx="22">
                    <c:v>2025-02-12</c:v>
                  </c:pt>
                  <c:pt idx="23">
                    <c:v>2025-04-09</c:v>
                  </c:pt>
                  <c:pt idx="24">
                    <c:v>2025-04-30</c:v>
                  </c:pt>
                  <c:pt idx="25">
                    <c:v>2025-05-28</c:v>
                  </c:pt>
                  <c:pt idx="26">
                    <c:v>2025-06-04</c:v>
                  </c:pt>
                  <c:pt idx="27">
                    <c:v>2025-06-11</c:v>
                  </c:pt>
                  <c:pt idx="28">
                    <c:v>2025-06-25</c:v>
                  </c:pt>
                  <c:pt idx="29">
                    <c:v>2025-07-02</c:v>
                  </c:pt>
                  <c:pt idx="30">
                    <c:v>2025-09-17</c:v>
                  </c:pt>
                  <c:pt idx="31">
                    <c:v>2025-01-08</c:v>
                  </c:pt>
                  <c:pt idx="32">
                    <c:v>2025-01-29</c:v>
                  </c:pt>
                  <c:pt idx="33">
                    <c:v>2025-03-05</c:v>
                  </c:pt>
                  <c:pt idx="34">
                    <c:v>2025-05-07</c:v>
                  </c:pt>
                  <c:pt idx="35">
                    <c:v>2025-07-09</c:v>
                  </c:pt>
                  <c:pt idx="36">
                    <c:v>2025-01-22</c:v>
                  </c:pt>
                  <c:pt idx="37">
                    <c:v>2025-02-05</c:v>
                  </c:pt>
                  <c:pt idx="38">
                    <c:v>2025-04-16</c:v>
                  </c:pt>
                  <c:pt idx="39">
                    <c:v>2025-09-24</c:v>
                  </c:pt>
                </c:lvl>
                <c:lvl>
                  <c:pt idx="0">
                    <c:v>Acme Corp</c:v>
                  </c:pt>
                  <c:pt idx="10">
                    <c:v>Apex Global</c:v>
                  </c:pt>
                  <c:pt idx="18">
                    <c:v>BlueSky Media</c:v>
                  </c:pt>
                  <c:pt idx="22">
                    <c:v>Nexus Tech</c:v>
                  </c:pt>
                  <c:pt idx="31">
                    <c:v>Starlight Inc</c:v>
                  </c:pt>
                  <c:pt idx="36">
                    <c:v>Vanguard Ltd</c:v>
                  </c:pt>
                </c:lvl>
              </c:multiLvlStrCache>
            </c:multiLvlStrRef>
          </c:cat>
          <c:val>
            <c:numRef>
              <c:f>Sheet2!$B$4:$B$50</c:f>
              <c:numCache>
                <c:formatCode>\$#,##0.00</c:formatCode>
                <c:ptCount val="40"/>
                <c:pt idx="0">
                  <c:v>5393</c:v>
                </c:pt>
                <c:pt idx="1">
                  <c:v>5142</c:v>
                </c:pt>
                <c:pt idx="2">
                  <c:v>5588</c:v>
                </c:pt>
                <c:pt idx="3">
                  <c:v>3827</c:v>
                </c:pt>
                <c:pt idx="4">
                  <c:v>4557</c:v>
                </c:pt>
                <c:pt idx="5">
                  <c:v>1240</c:v>
                </c:pt>
                <c:pt idx="6">
                  <c:v>5715</c:v>
                </c:pt>
                <c:pt idx="7">
                  <c:v>5083</c:v>
                </c:pt>
                <c:pt idx="8">
                  <c:v>2179</c:v>
                </c:pt>
                <c:pt idx="9">
                  <c:v>3856</c:v>
                </c:pt>
                <c:pt idx="10">
                  <c:v>2186</c:v>
                </c:pt>
                <c:pt idx="11">
                  <c:v>4841</c:v>
                </c:pt>
                <c:pt idx="12">
                  <c:v>4236</c:v>
                </c:pt>
                <c:pt idx="13">
                  <c:v>7213</c:v>
                </c:pt>
                <c:pt idx="14">
                  <c:v>4175</c:v>
                </c:pt>
                <c:pt idx="15">
                  <c:v>2431</c:v>
                </c:pt>
                <c:pt idx="16">
                  <c:v>7504</c:v>
                </c:pt>
                <c:pt idx="17">
                  <c:v>5146</c:v>
                </c:pt>
                <c:pt idx="18">
                  <c:v>2395</c:v>
                </c:pt>
                <c:pt idx="19">
                  <c:v>4615</c:v>
                </c:pt>
                <c:pt idx="20">
                  <c:v>5369</c:v>
                </c:pt>
                <c:pt idx="21">
                  <c:v>3843</c:v>
                </c:pt>
                <c:pt idx="22">
                  <c:v>7140</c:v>
                </c:pt>
                <c:pt idx="23">
                  <c:v>6486</c:v>
                </c:pt>
                <c:pt idx="24">
                  <c:v>4995</c:v>
                </c:pt>
                <c:pt idx="25">
                  <c:v>5433</c:v>
                </c:pt>
                <c:pt idx="26">
                  <c:v>3160</c:v>
                </c:pt>
                <c:pt idx="27">
                  <c:v>3551</c:v>
                </c:pt>
                <c:pt idx="28">
                  <c:v>4642</c:v>
                </c:pt>
                <c:pt idx="29">
                  <c:v>7299</c:v>
                </c:pt>
                <c:pt idx="30">
                  <c:v>2641</c:v>
                </c:pt>
                <c:pt idx="31">
                  <c:v>5048</c:v>
                </c:pt>
                <c:pt idx="32">
                  <c:v>1569</c:v>
                </c:pt>
                <c:pt idx="33">
                  <c:v>6354</c:v>
                </c:pt>
                <c:pt idx="34">
                  <c:v>5429</c:v>
                </c:pt>
                <c:pt idx="35">
                  <c:v>5725</c:v>
                </c:pt>
                <c:pt idx="36">
                  <c:v>7839</c:v>
                </c:pt>
                <c:pt idx="37">
                  <c:v>6364</c:v>
                </c:pt>
                <c:pt idx="38">
                  <c:v>6125</c:v>
                </c:pt>
                <c:pt idx="39">
                  <c:v>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1-4137-B408-203A0FDA75B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Paid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Sheet2!$A$4:$A$50</c:f>
              <c:multiLvlStrCache>
                <c:ptCount val="40"/>
                <c:lvl>
                  <c:pt idx="0">
                    <c:v>2025-01-01</c:v>
                  </c:pt>
                  <c:pt idx="1">
                    <c:v>2025-01-15</c:v>
                  </c:pt>
                  <c:pt idx="2">
                    <c:v>2025-02-19</c:v>
                  </c:pt>
                  <c:pt idx="3">
                    <c:v>2025-02-26</c:v>
                  </c:pt>
                  <c:pt idx="4">
                    <c:v>2025-03-26</c:v>
                  </c:pt>
                  <c:pt idx="5">
                    <c:v>2025-07-23</c:v>
                  </c:pt>
                  <c:pt idx="6">
                    <c:v>2025-08-06</c:v>
                  </c:pt>
                  <c:pt idx="7">
                    <c:v>2025-08-13</c:v>
                  </c:pt>
                  <c:pt idx="8">
                    <c:v>2025-09-03</c:v>
                  </c:pt>
                  <c:pt idx="9">
                    <c:v>2025-09-10</c:v>
                  </c:pt>
                  <c:pt idx="10">
                    <c:v>2025-03-19</c:v>
                  </c:pt>
                  <c:pt idx="11">
                    <c:v>2025-04-02</c:v>
                  </c:pt>
                  <c:pt idx="12">
                    <c:v>2025-05-14</c:v>
                  </c:pt>
                  <c:pt idx="13">
                    <c:v>2025-05-21</c:v>
                  </c:pt>
                  <c:pt idx="14">
                    <c:v>2025-07-16</c:v>
                  </c:pt>
                  <c:pt idx="15">
                    <c:v>2025-07-30</c:v>
                  </c:pt>
                  <c:pt idx="16">
                    <c:v>2025-08-27</c:v>
                  </c:pt>
                  <c:pt idx="17">
                    <c:v>2025-10-01</c:v>
                  </c:pt>
                  <c:pt idx="18">
                    <c:v>2025-03-12</c:v>
                  </c:pt>
                  <c:pt idx="19">
                    <c:v>2025-04-23</c:v>
                  </c:pt>
                  <c:pt idx="20">
                    <c:v>2025-06-18</c:v>
                  </c:pt>
                  <c:pt idx="21">
                    <c:v>2025-08-20</c:v>
                  </c:pt>
                  <c:pt idx="22">
                    <c:v>2025-02-12</c:v>
                  </c:pt>
                  <c:pt idx="23">
                    <c:v>2025-04-09</c:v>
                  </c:pt>
                  <c:pt idx="24">
                    <c:v>2025-04-30</c:v>
                  </c:pt>
                  <c:pt idx="25">
                    <c:v>2025-05-28</c:v>
                  </c:pt>
                  <c:pt idx="26">
                    <c:v>2025-06-04</c:v>
                  </c:pt>
                  <c:pt idx="27">
                    <c:v>2025-06-11</c:v>
                  </c:pt>
                  <c:pt idx="28">
                    <c:v>2025-06-25</c:v>
                  </c:pt>
                  <c:pt idx="29">
                    <c:v>2025-07-02</c:v>
                  </c:pt>
                  <c:pt idx="30">
                    <c:v>2025-09-17</c:v>
                  </c:pt>
                  <c:pt idx="31">
                    <c:v>2025-01-08</c:v>
                  </c:pt>
                  <c:pt idx="32">
                    <c:v>2025-01-29</c:v>
                  </c:pt>
                  <c:pt idx="33">
                    <c:v>2025-03-05</c:v>
                  </c:pt>
                  <c:pt idx="34">
                    <c:v>2025-05-07</c:v>
                  </c:pt>
                  <c:pt idx="35">
                    <c:v>2025-07-09</c:v>
                  </c:pt>
                  <c:pt idx="36">
                    <c:v>2025-01-22</c:v>
                  </c:pt>
                  <c:pt idx="37">
                    <c:v>2025-02-05</c:v>
                  </c:pt>
                  <c:pt idx="38">
                    <c:v>2025-04-16</c:v>
                  </c:pt>
                  <c:pt idx="39">
                    <c:v>2025-09-24</c:v>
                  </c:pt>
                </c:lvl>
                <c:lvl>
                  <c:pt idx="0">
                    <c:v>Acme Corp</c:v>
                  </c:pt>
                  <c:pt idx="10">
                    <c:v>Apex Global</c:v>
                  </c:pt>
                  <c:pt idx="18">
                    <c:v>BlueSky Media</c:v>
                  </c:pt>
                  <c:pt idx="22">
                    <c:v>Nexus Tech</c:v>
                  </c:pt>
                  <c:pt idx="31">
                    <c:v>Starlight Inc</c:v>
                  </c:pt>
                  <c:pt idx="36">
                    <c:v>Vanguard Ltd</c:v>
                  </c:pt>
                </c:lvl>
              </c:multiLvlStrCache>
            </c:multiLvlStrRef>
          </c:cat>
          <c:val>
            <c:numRef>
              <c:f>Sheet2!$C$4:$C$50</c:f>
              <c:numCache>
                <c:formatCode>\$#,##0.00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5588</c:v>
                </c:pt>
                <c:pt idx="3">
                  <c:v>3827</c:v>
                </c:pt>
                <c:pt idx="4">
                  <c:v>0</c:v>
                </c:pt>
                <c:pt idx="5">
                  <c:v>1240</c:v>
                </c:pt>
                <c:pt idx="6">
                  <c:v>5715</c:v>
                </c:pt>
                <c:pt idx="7">
                  <c:v>0</c:v>
                </c:pt>
                <c:pt idx="8">
                  <c:v>2179</c:v>
                </c:pt>
                <c:pt idx="9">
                  <c:v>3856</c:v>
                </c:pt>
                <c:pt idx="10">
                  <c:v>2186</c:v>
                </c:pt>
                <c:pt idx="11">
                  <c:v>4841</c:v>
                </c:pt>
                <c:pt idx="12">
                  <c:v>4236</c:v>
                </c:pt>
                <c:pt idx="13">
                  <c:v>7213</c:v>
                </c:pt>
                <c:pt idx="14">
                  <c:v>0</c:v>
                </c:pt>
                <c:pt idx="15">
                  <c:v>2431</c:v>
                </c:pt>
                <c:pt idx="16">
                  <c:v>7504</c:v>
                </c:pt>
                <c:pt idx="17">
                  <c:v>5146</c:v>
                </c:pt>
                <c:pt idx="18">
                  <c:v>2395</c:v>
                </c:pt>
                <c:pt idx="19">
                  <c:v>0</c:v>
                </c:pt>
                <c:pt idx="20">
                  <c:v>5369</c:v>
                </c:pt>
                <c:pt idx="21">
                  <c:v>3843</c:v>
                </c:pt>
                <c:pt idx="22">
                  <c:v>7140</c:v>
                </c:pt>
                <c:pt idx="23">
                  <c:v>6486</c:v>
                </c:pt>
                <c:pt idx="24">
                  <c:v>4995</c:v>
                </c:pt>
                <c:pt idx="25">
                  <c:v>5433</c:v>
                </c:pt>
                <c:pt idx="26">
                  <c:v>3160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5048</c:v>
                </c:pt>
                <c:pt idx="32">
                  <c:v>0</c:v>
                </c:pt>
                <c:pt idx="33">
                  <c:v>0</c:v>
                </c:pt>
                <c:pt idx="34">
                  <c:v>5429</c:v>
                </c:pt>
                <c:pt idx="35">
                  <c:v>5725</c:v>
                </c:pt>
                <c:pt idx="36">
                  <c:v>0</c:v>
                </c:pt>
                <c:pt idx="37">
                  <c:v>0</c:v>
                </c:pt>
                <c:pt idx="38">
                  <c:v>6125</c:v>
                </c:pt>
                <c:pt idx="39">
                  <c:v>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1-4137-B408-203A0FDA7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693791"/>
        <c:axId val="1775690431"/>
      </c:barChart>
      <c:catAx>
        <c:axId val="177569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90431"/>
        <c:crosses val="autoZero"/>
        <c:auto val="1"/>
        <c:lblAlgn val="ctr"/>
        <c:lblOffset val="100"/>
        <c:noMultiLvlLbl val="0"/>
      </c:catAx>
      <c:valAx>
        <c:axId val="177569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0</xdr:row>
      <xdr:rowOff>163830</xdr:rowOff>
    </xdr:from>
    <xdr:to>
      <xdr:col>11</xdr:col>
      <xdr:colOff>60960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1845C-02AA-1DA3-DE42-CF147E448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jmieh" refreshedDate="46321.696985532406" createdVersion="8" refreshedVersion="8" minRefreshableVersion="3" recordCount="40" xr:uid="{AAE39B8F-FFB8-4AEF-A3B6-68C3FCE92247}">
  <cacheSource type="worksheet">
    <worksheetSource name="Table1"/>
  </cacheSource>
  <cacheFields count="11">
    <cacheField name="Invoice ID" numFmtId="0">
      <sharedItems/>
    </cacheField>
    <cacheField name="Client Name" numFmtId="0">
      <sharedItems count="6">
        <s v="Acme Corp"/>
        <s v="Starlight Inc"/>
        <s v="Vanguard Ltd"/>
        <s v="Nexus Tech"/>
        <s v="BlueSky Media"/>
        <s v="Apex Global"/>
      </sharedItems>
    </cacheField>
    <cacheField name="Invoice Date" numFmtId="0">
      <sharedItems count="40">
        <s v="2025-01-01"/>
        <s v="2025-01-08"/>
        <s v="2025-01-15"/>
        <s v="2025-01-22"/>
        <s v="2025-01-29"/>
        <s v="2025-02-05"/>
        <s v="2025-02-12"/>
        <s v="2025-02-19"/>
        <s v="2025-02-26"/>
        <s v="2025-03-05"/>
        <s v="2025-03-12"/>
        <s v="2025-03-19"/>
        <s v="2025-03-26"/>
        <s v="2025-04-02"/>
        <s v="2025-04-09"/>
        <s v="2025-04-16"/>
        <s v="2025-04-23"/>
        <s v="2025-04-30"/>
        <s v="2025-05-07"/>
        <s v="2025-05-14"/>
        <s v="2025-05-21"/>
        <s v="2025-05-28"/>
        <s v="2025-06-04"/>
        <s v="2025-06-11"/>
        <s v="2025-06-18"/>
        <s v="2025-06-25"/>
        <s v="2025-07-02"/>
        <s v="2025-07-09"/>
        <s v="2025-07-16"/>
        <s v="2025-07-23"/>
        <s v="2025-07-30"/>
        <s v="2025-08-06"/>
        <s v="2025-08-13"/>
        <s v="2025-08-20"/>
        <s v="2025-08-27"/>
        <s v="2025-09-03"/>
        <s v="2025-09-10"/>
        <s v="2025-09-17"/>
        <s v="2025-09-24"/>
        <s v="2025-10-01"/>
      </sharedItems>
    </cacheField>
    <cacheField name="Due Date" numFmtId="0">
      <sharedItems/>
    </cacheField>
    <cacheField name="Invoice Amount" numFmtId="165">
      <sharedItems containsSemiMixedTypes="0" containsString="0" containsNumber="1" containsInteger="1" minValue="1240" maxValue="7839"/>
    </cacheField>
    <cacheField name="Paid Amount" numFmtId="165">
      <sharedItems containsSemiMixedTypes="0" containsString="0" containsNumber="1" containsInteger="1" minValue="0" maxValue="7504"/>
    </cacheField>
    <cacheField name="Payment Date" numFmtId="165">
      <sharedItems/>
    </cacheField>
    <cacheField name="0" numFmtId="0">
      <sharedItems/>
    </cacheField>
    <cacheField name="Total Billed" numFmtId="165">
      <sharedItems containsSemiMixedTypes="0" containsString="0" containsNumber="1" containsInteger="1" minValue="5146" maxValue="191382"/>
    </cacheField>
    <cacheField name="Total Collected" numFmtId="165">
      <sharedItems containsSemiMixedTypes="0" containsString="0" containsNumber="1" containsInteger="1" minValue="5146" maxValue="122158"/>
    </cacheField>
    <cacheField name="Total Outstanding" numFmtId="165">
      <sharedItems containsMixedTypes="1" containsNumber="1" containsInteger="1" minValue="0" maxValue="78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INV-202501"/>
    <x v="0"/>
    <x v="0"/>
    <s v="2025-01-31"/>
    <n v="5393"/>
    <n v="0"/>
    <s v="—"/>
    <s v="Pending"/>
    <n v="191382"/>
    <n v="122158"/>
    <e v="#VALUE!"/>
  </r>
  <r>
    <s v="INV-202502"/>
    <x v="1"/>
    <x v="1"/>
    <s v="2025-02-07"/>
    <n v="5048"/>
    <n v="5048"/>
    <s v="2025-01-28"/>
    <s v="Paid"/>
    <n v="185989"/>
    <n v="122158"/>
    <n v="5393"/>
  </r>
  <r>
    <s v="INV-202503"/>
    <x v="0"/>
    <x v="2"/>
    <s v="2025-02-14"/>
    <n v="5142"/>
    <n v="0"/>
    <s v="—"/>
    <s v="Pending"/>
    <n v="180941"/>
    <n v="117110"/>
    <n v="0"/>
  </r>
  <r>
    <s v="INV-202504"/>
    <x v="2"/>
    <x v="3"/>
    <s v="2025-02-21"/>
    <n v="7839"/>
    <n v="0"/>
    <s v="—"/>
    <s v="Overdue"/>
    <n v="175799"/>
    <n v="117110"/>
    <n v="5142"/>
  </r>
  <r>
    <s v="INV-202505"/>
    <x v="1"/>
    <x v="4"/>
    <s v="2025-02-28"/>
    <n v="1569"/>
    <n v="0"/>
    <s v="—"/>
    <s v="Overdue"/>
    <n v="167960"/>
    <n v="117110"/>
    <n v="7839"/>
  </r>
  <r>
    <s v="INV-202506"/>
    <x v="2"/>
    <x v="5"/>
    <s v="2025-03-07"/>
    <n v="6364"/>
    <n v="0"/>
    <s v="—"/>
    <s v="Overdue"/>
    <n v="166391"/>
    <n v="117110"/>
    <n v="1569"/>
  </r>
  <r>
    <s v="INV-202507"/>
    <x v="3"/>
    <x v="6"/>
    <s v="2025-03-14"/>
    <n v="7140"/>
    <n v="7140"/>
    <s v="2025-02-19"/>
    <s v="Paid"/>
    <n v="160027"/>
    <n v="117110"/>
    <n v="6364"/>
  </r>
  <r>
    <s v="INV-202508"/>
    <x v="0"/>
    <x v="7"/>
    <s v="2025-03-21"/>
    <n v="5588"/>
    <n v="5588"/>
    <s v="2025-03-16"/>
    <s v="Paid"/>
    <n v="152887"/>
    <n v="109970"/>
    <n v="0"/>
  </r>
  <r>
    <s v="INV-202509"/>
    <x v="0"/>
    <x v="8"/>
    <s v="2025-03-28"/>
    <n v="3827"/>
    <n v="3827"/>
    <s v="2025-03-20"/>
    <s v="Paid"/>
    <n v="147299"/>
    <n v="104382"/>
    <n v="0"/>
  </r>
  <r>
    <s v="INV-202510"/>
    <x v="1"/>
    <x v="9"/>
    <s v="2025-04-04"/>
    <n v="6354"/>
    <n v="0"/>
    <s v="—"/>
    <s v="Pending"/>
    <n v="143472"/>
    <n v="100555"/>
    <n v="0"/>
  </r>
  <r>
    <s v="INV-202511"/>
    <x v="4"/>
    <x v="10"/>
    <s v="2025-04-11"/>
    <n v="2395"/>
    <n v="2395"/>
    <s v="2025-04-03"/>
    <s v="Paid"/>
    <n v="137118"/>
    <n v="100555"/>
    <n v="6354"/>
  </r>
  <r>
    <s v="INV-202512"/>
    <x v="5"/>
    <x v="11"/>
    <s v="2025-04-18"/>
    <n v="2186"/>
    <n v="2186"/>
    <s v="2025-04-02"/>
    <s v="Paid"/>
    <n v="134723"/>
    <n v="98160"/>
    <n v="0"/>
  </r>
  <r>
    <s v="INV-202513"/>
    <x v="0"/>
    <x v="12"/>
    <s v="2025-04-25"/>
    <n v="4557"/>
    <n v="0"/>
    <s v="—"/>
    <s v="Pending"/>
    <n v="132537"/>
    <n v="95974"/>
    <n v="0"/>
  </r>
  <r>
    <s v="INV-202514"/>
    <x v="5"/>
    <x v="13"/>
    <s v="2025-05-02"/>
    <n v="4841"/>
    <n v="4841"/>
    <s v="2025-04-16"/>
    <s v="Paid"/>
    <n v="127980"/>
    <n v="95974"/>
    <n v="4557"/>
  </r>
  <r>
    <s v="INV-202515"/>
    <x v="3"/>
    <x v="14"/>
    <s v="2025-05-09"/>
    <n v="6486"/>
    <n v="6486"/>
    <s v="2025-04-26"/>
    <s v="Paid"/>
    <n v="123139"/>
    <n v="91133"/>
    <n v="0"/>
  </r>
  <r>
    <s v="INV-202516"/>
    <x v="2"/>
    <x v="15"/>
    <s v="2025-05-16"/>
    <n v="6125"/>
    <n v="6125"/>
    <s v="2025-04-24"/>
    <s v="Paid"/>
    <n v="116653"/>
    <n v="84647"/>
    <n v="0"/>
  </r>
  <r>
    <s v="INV-202517"/>
    <x v="4"/>
    <x v="16"/>
    <s v="2025-05-23"/>
    <n v="4615"/>
    <n v="0"/>
    <s v="—"/>
    <s v="Pending"/>
    <n v="110528"/>
    <n v="78522"/>
    <n v="0"/>
  </r>
  <r>
    <s v="INV-202518"/>
    <x v="3"/>
    <x v="17"/>
    <s v="2025-05-30"/>
    <n v="4995"/>
    <n v="4995"/>
    <s v="2025-05-23"/>
    <s v="Paid"/>
    <n v="105913"/>
    <n v="78522"/>
    <n v="4615"/>
  </r>
  <r>
    <s v="INV-202519"/>
    <x v="1"/>
    <x v="18"/>
    <s v="2025-06-06"/>
    <n v="5429"/>
    <n v="5429"/>
    <s v="2025-06-02"/>
    <s v="Paid"/>
    <n v="100918"/>
    <n v="73527"/>
    <n v="0"/>
  </r>
  <r>
    <s v="INV-202520"/>
    <x v="5"/>
    <x v="19"/>
    <s v="2025-06-13"/>
    <n v="4236"/>
    <n v="4236"/>
    <s v="2025-06-09"/>
    <s v="Paid"/>
    <n v="95489"/>
    <n v="68098"/>
    <n v="0"/>
  </r>
  <r>
    <s v="INV-202521"/>
    <x v="5"/>
    <x v="20"/>
    <s v="2025-06-20"/>
    <n v="7213"/>
    <n v="7213"/>
    <s v="2025-06-14"/>
    <s v="Paid"/>
    <n v="91253"/>
    <n v="63862"/>
    <n v="0"/>
  </r>
  <r>
    <s v="INV-202522"/>
    <x v="3"/>
    <x v="21"/>
    <s v="2025-06-27"/>
    <n v="5433"/>
    <n v="5433"/>
    <s v="2025-06-12"/>
    <s v="Paid"/>
    <n v="84040"/>
    <n v="56649"/>
    <n v="0"/>
  </r>
  <r>
    <s v="INV-202523"/>
    <x v="3"/>
    <x v="22"/>
    <s v="2025-07-04"/>
    <n v="3160"/>
    <n v="3160"/>
    <s v="2025-06-29"/>
    <s v="Paid"/>
    <n v="78607"/>
    <n v="51216"/>
    <n v="0"/>
  </r>
  <r>
    <s v="INV-202524"/>
    <x v="3"/>
    <x v="23"/>
    <s v="2025-07-11"/>
    <n v="3551"/>
    <n v="0"/>
    <s v="—"/>
    <s v="Overdue"/>
    <n v="75447"/>
    <n v="48056"/>
    <n v="0"/>
  </r>
  <r>
    <s v="INV-202525"/>
    <x v="4"/>
    <x v="24"/>
    <s v="2025-07-18"/>
    <n v="5369"/>
    <n v="5369"/>
    <s v="2025-07-12"/>
    <s v="Paid"/>
    <n v="71896"/>
    <n v="48056"/>
    <n v="3551"/>
  </r>
  <r>
    <s v="INV-202526"/>
    <x v="3"/>
    <x v="25"/>
    <s v="2025-07-25"/>
    <n v="4642"/>
    <n v="0"/>
    <s v="—"/>
    <s v="Pending"/>
    <n v="66527"/>
    <n v="42687"/>
    <n v="0"/>
  </r>
  <r>
    <s v="INV-202527"/>
    <x v="3"/>
    <x v="26"/>
    <s v="2025-08-01"/>
    <n v="7299"/>
    <n v="0"/>
    <s v="—"/>
    <s v="Overdue"/>
    <n v="61885"/>
    <n v="42687"/>
    <n v="4642"/>
  </r>
  <r>
    <s v="INV-202528"/>
    <x v="1"/>
    <x v="27"/>
    <s v="2025-08-08"/>
    <n v="5725"/>
    <n v="5725"/>
    <s v="2025-07-30"/>
    <s v="Paid"/>
    <n v="54586"/>
    <n v="42687"/>
    <n v="7299"/>
  </r>
  <r>
    <s v="INV-202529"/>
    <x v="5"/>
    <x v="28"/>
    <s v="2025-08-15"/>
    <n v="4175"/>
    <n v="0"/>
    <s v="—"/>
    <s v="Pending"/>
    <n v="48861"/>
    <n v="36962"/>
    <n v="0"/>
  </r>
  <r>
    <s v="INV-202530"/>
    <x v="0"/>
    <x v="29"/>
    <s v="2025-08-22"/>
    <n v="1240"/>
    <n v="1240"/>
    <s v="2025-08-19"/>
    <s v="Paid"/>
    <n v="44686"/>
    <n v="36962"/>
    <n v="4175"/>
  </r>
  <r>
    <s v="INV-202531"/>
    <x v="5"/>
    <x v="30"/>
    <s v="2025-08-29"/>
    <n v="2431"/>
    <n v="2431"/>
    <s v="2025-08-04"/>
    <s v="Paid"/>
    <n v="43446"/>
    <n v="35722"/>
    <n v="0"/>
  </r>
  <r>
    <s v="INV-202532"/>
    <x v="0"/>
    <x v="31"/>
    <s v="2025-09-05"/>
    <n v="5715"/>
    <n v="5715"/>
    <s v="2025-08-26"/>
    <s v="Paid"/>
    <n v="41015"/>
    <n v="33291"/>
    <n v="0"/>
  </r>
  <r>
    <s v="INV-202533"/>
    <x v="0"/>
    <x v="32"/>
    <s v="2025-09-12"/>
    <n v="5083"/>
    <n v="0"/>
    <s v="—"/>
    <s v="Overdue"/>
    <n v="35300"/>
    <n v="27576"/>
    <n v="0"/>
  </r>
  <r>
    <s v="INV-202534"/>
    <x v="4"/>
    <x v="33"/>
    <s v="2025-09-19"/>
    <n v="3843"/>
    <n v="3843"/>
    <s v="2025-08-29"/>
    <s v="Paid"/>
    <n v="30217"/>
    <n v="27576"/>
    <n v="5083"/>
  </r>
  <r>
    <s v="INV-202535"/>
    <x v="5"/>
    <x v="34"/>
    <s v="2025-09-26"/>
    <n v="7504"/>
    <n v="7504"/>
    <s v="2025-09-12"/>
    <s v="Paid"/>
    <n v="26374"/>
    <n v="23733"/>
    <n v="0"/>
  </r>
  <r>
    <s v="INV-202536"/>
    <x v="0"/>
    <x v="35"/>
    <s v="2025-10-03"/>
    <n v="2179"/>
    <n v="2179"/>
    <s v="2025-09-29"/>
    <s v="Paid"/>
    <n v="18870"/>
    <n v="16229"/>
    <n v="0"/>
  </r>
  <r>
    <s v="INV-202537"/>
    <x v="0"/>
    <x v="36"/>
    <s v="2025-10-10"/>
    <n v="3856"/>
    <n v="3856"/>
    <s v="2025-09-19"/>
    <s v="Paid"/>
    <n v="16691"/>
    <n v="14050"/>
    <n v="0"/>
  </r>
  <r>
    <s v="INV-202538"/>
    <x v="3"/>
    <x v="37"/>
    <s v="2025-10-17"/>
    <n v="2641"/>
    <n v="0"/>
    <s v="—"/>
    <s v="Overdue"/>
    <n v="12835"/>
    <n v="10194"/>
    <n v="0"/>
  </r>
  <r>
    <s v="INV-202539"/>
    <x v="2"/>
    <x v="38"/>
    <s v="2025-10-24"/>
    <n v="5048"/>
    <n v="5048"/>
    <s v="2025-10-14"/>
    <s v="Paid"/>
    <n v="10194"/>
    <n v="10194"/>
    <n v="2641"/>
  </r>
  <r>
    <s v="INV-202540"/>
    <x v="5"/>
    <x v="39"/>
    <s v="2025-10-31"/>
    <n v="5146"/>
    <n v="5146"/>
    <s v="2025-10-10"/>
    <s v="Paid"/>
    <n v="5146"/>
    <n v="514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78CA5-0859-4F24-B1A3-AD39D68D9F9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50" firstHeaderRow="0" firstDataRow="1" firstDataCol="1"/>
  <pivotFields count="11">
    <pivotField showAll="0"/>
    <pivotField axis="axisRow" showAll="0">
      <items count="7">
        <item x="0"/>
        <item x="5"/>
        <item x="4"/>
        <item x="3"/>
        <item x="1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numFmtId="165" showAll="0"/>
    <pivotField dataField="1" numFmtId="165" showAll="0"/>
    <pivotField showAll="0"/>
    <pivotField showAll="0"/>
    <pivotField numFmtId="165" showAll="0"/>
    <pivotField numFmtId="165" showAll="0"/>
    <pivotField showAll="0"/>
  </pivotFields>
  <rowFields count="2">
    <field x="1"/>
    <field x="2"/>
  </rowFields>
  <rowItems count="47">
    <i>
      <x/>
    </i>
    <i r="1">
      <x/>
    </i>
    <i r="1">
      <x v="2"/>
    </i>
    <i r="1">
      <x v="7"/>
    </i>
    <i r="1">
      <x v="8"/>
    </i>
    <i r="1">
      <x v="12"/>
    </i>
    <i r="1">
      <x v="29"/>
    </i>
    <i r="1">
      <x v="31"/>
    </i>
    <i r="1">
      <x v="32"/>
    </i>
    <i r="1">
      <x v="35"/>
    </i>
    <i r="1">
      <x v="36"/>
    </i>
    <i>
      <x v="1"/>
    </i>
    <i r="1">
      <x v="11"/>
    </i>
    <i r="1">
      <x v="13"/>
    </i>
    <i r="1">
      <x v="19"/>
    </i>
    <i r="1">
      <x v="20"/>
    </i>
    <i r="1">
      <x v="28"/>
    </i>
    <i r="1">
      <x v="30"/>
    </i>
    <i r="1">
      <x v="34"/>
    </i>
    <i r="1">
      <x v="39"/>
    </i>
    <i>
      <x v="2"/>
    </i>
    <i r="1">
      <x v="10"/>
    </i>
    <i r="1">
      <x v="16"/>
    </i>
    <i r="1">
      <x v="24"/>
    </i>
    <i r="1">
      <x v="33"/>
    </i>
    <i>
      <x v="3"/>
    </i>
    <i r="1">
      <x v="6"/>
    </i>
    <i r="1">
      <x v="14"/>
    </i>
    <i r="1">
      <x v="17"/>
    </i>
    <i r="1">
      <x v="21"/>
    </i>
    <i r="1">
      <x v="22"/>
    </i>
    <i r="1">
      <x v="23"/>
    </i>
    <i r="1">
      <x v="25"/>
    </i>
    <i r="1">
      <x v="26"/>
    </i>
    <i r="1">
      <x v="37"/>
    </i>
    <i>
      <x v="4"/>
    </i>
    <i r="1">
      <x v="1"/>
    </i>
    <i r="1">
      <x v="4"/>
    </i>
    <i r="1">
      <x v="9"/>
    </i>
    <i r="1">
      <x v="18"/>
    </i>
    <i r="1">
      <x v="27"/>
    </i>
    <i>
      <x v="5"/>
    </i>
    <i r="1">
      <x v="3"/>
    </i>
    <i r="1">
      <x v="5"/>
    </i>
    <i r="1">
      <x v="15"/>
    </i>
    <i r="1"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 Amount" fld="4" baseField="0" baseItem="0" numFmtId="165"/>
    <dataField name="Sum of Paid Amount" fld="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E70A7-8640-444A-85E1-19F33853698B}" name="Table1" displayName="Table1" ref="A1:K41" totalsRowShown="0" headerRowDxfId="9" dataDxfId="10" tableBorderDxfId="13">
  <autoFilter ref="A1:K41" xr:uid="{077E70A7-8640-444A-85E1-19F33853698B}"/>
  <tableColumns count="11">
    <tableColumn id="1" xr3:uid="{FDFD116A-9B28-49FF-BB0E-700646AD2B8D}" name="Invoice ID" dataDxfId="6"/>
    <tableColumn id="2" xr3:uid="{59675BC9-BA73-4BC9-9552-9E8BCF9BCD68}" name="Client Name" dataDxfId="5"/>
    <tableColumn id="3" xr3:uid="{EE82412A-E190-4520-81DD-1BB23443E4CA}" name="Invoice Date" dataDxfId="12"/>
    <tableColumn id="4" xr3:uid="{6BBC5AE4-B2DF-4C3C-905B-A55906552081}" name="Due Date" dataDxfId="11"/>
    <tableColumn id="5" xr3:uid="{94CE881A-BAB9-4C41-9EE3-33C33511E4E7}" name="Invoice Amount" dataDxfId="4"/>
    <tableColumn id="6" xr3:uid="{93EE70C1-F81A-473A-9102-B82D84A72354}" name="Paid Amount" dataDxfId="3"/>
    <tableColumn id="7" xr3:uid="{1B08C70B-E6FC-42B0-B371-94DDF56F52BE}" name="Payment Date" dataDxfId="2"/>
    <tableColumn id="8" xr3:uid="{2B67B2FF-B58E-43E0-ACF3-4C6AA055B801}" name="0" dataDxfId="8"/>
    <tableColumn id="9" xr3:uid="{C9124954-0B8F-403A-B70A-92B36928EAD7}" name="Total Billed" dataDxfId="7">
      <calculatedColumnFormula>SUM(E2:E41)</calculatedColumnFormula>
    </tableColumn>
    <tableColumn id="10" xr3:uid="{532BF3DD-6F41-4ABA-94D7-A74794463426}" name="Total Collected" dataDxfId="1">
      <calculatedColumnFormula>SUM(F2:F41)</calculatedColumnFormula>
    </tableColumn>
    <tableColumn id="11" xr3:uid="{ED94E7FE-D952-452E-8C51-6EA1DE929ACF}" name="Total Outstanding" dataDxfId="0">
      <calculatedColumnFormula>E1-F1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3AF8-E1C6-48C7-90B0-32C49EA98986}">
  <dimension ref="A3:C50"/>
  <sheetViews>
    <sheetView tabSelected="1" workbookViewId="0">
      <selection activeCell="H21" sqref="H21"/>
    </sheetView>
  </sheetViews>
  <sheetFormatPr defaultRowHeight="14.4" x14ac:dyDescent="0.3"/>
  <cols>
    <col min="1" max="1" width="15.5546875" bestFit="1" customWidth="1"/>
    <col min="2" max="2" width="21.109375" bestFit="1" customWidth="1"/>
    <col min="3" max="3" width="18.6640625" bestFit="1" customWidth="1"/>
  </cols>
  <sheetData>
    <row r="3" spans="1:3" x14ac:dyDescent="0.3">
      <c r="A3" s="28" t="s">
        <v>160</v>
      </c>
      <c r="B3" t="s">
        <v>158</v>
      </c>
      <c r="C3" t="s">
        <v>159</v>
      </c>
    </row>
    <row r="4" spans="1:3" x14ac:dyDescent="0.3">
      <c r="A4" s="29" t="s">
        <v>26</v>
      </c>
      <c r="B4" s="12">
        <v>42580</v>
      </c>
      <c r="C4" s="12">
        <v>22405</v>
      </c>
    </row>
    <row r="5" spans="1:3" x14ac:dyDescent="0.3">
      <c r="A5" s="30" t="s">
        <v>0</v>
      </c>
      <c r="B5" s="12">
        <v>5393</v>
      </c>
      <c r="C5" s="12">
        <v>0</v>
      </c>
    </row>
    <row r="6" spans="1:3" x14ac:dyDescent="0.3">
      <c r="A6" s="30" t="s">
        <v>36</v>
      </c>
      <c r="B6" s="12">
        <v>5142</v>
      </c>
      <c r="C6" s="12">
        <v>0</v>
      </c>
    </row>
    <row r="7" spans="1:3" x14ac:dyDescent="0.3">
      <c r="A7" s="30" t="s">
        <v>51</v>
      </c>
      <c r="B7" s="12">
        <v>5588</v>
      </c>
      <c r="C7" s="12">
        <v>5588</v>
      </c>
    </row>
    <row r="8" spans="1:3" x14ac:dyDescent="0.3">
      <c r="A8" s="30" t="s">
        <v>56</v>
      </c>
      <c r="B8" s="12">
        <v>3827</v>
      </c>
      <c r="C8" s="12">
        <v>3827</v>
      </c>
    </row>
    <row r="9" spans="1:3" x14ac:dyDescent="0.3">
      <c r="A9" s="30" t="s">
        <v>71</v>
      </c>
      <c r="B9" s="12">
        <v>4557</v>
      </c>
      <c r="C9" s="12">
        <v>0</v>
      </c>
    </row>
    <row r="10" spans="1:3" x14ac:dyDescent="0.3">
      <c r="A10" s="30" t="s">
        <v>122</v>
      </c>
      <c r="B10" s="12">
        <v>1240</v>
      </c>
      <c r="C10" s="12">
        <v>1240</v>
      </c>
    </row>
    <row r="11" spans="1:3" x14ac:dyDescent="0.3">
      <c r="A11" s="30" t="s">
        <v>126</v>
      </c>
      <c r="B11" s="12">
        <v>5715</v>
      </c>
      <c r="C11" s="12">
        <v>5715</v>
      </c>
    </row>
    <row r="12" spans="1:3" x14ac:dyDescent="0.3">
      <c r="A12" s="30" t="s">
        <v>130</v>
      </c>
      <c r="B12" s="12">
        <v>5083</v>
      </c>
      <c r="C12" s="12">
        <v>0</v>
      </c>
    </row>
    <row r="13" spans="1:3" x14ac:dyDescent="0.3">
      <c r="A13" s="30" t="s">
        <v>17</v>
      </c>
      <c r="B13" s="12">
        <v>2179</v>
      </c>
      <c r="C13" s="12">
        <v>2179</v>
      </c>
    </row>
    <row r="14" spans="1:3" x14ac:dyDescent="0.3">
      <c r="A14" s="30" t="s">
        <v>142</v>
      </c>
      <c r="B14" s="12">
        <v>3856</v>
      </c>
      <c r="C14" s="12">
        <v>3856</v>
      </c>
    </row>
    <row r="15" spans="1:3" x14ac:dyDescent="0.3">
      <c r="A15" s="29" t="s">
        <v>66</v>
      </c>
      <c r="B15" s="12">
        <v>37732</v>
      </c>
      <c r="C15" s="12">
        <v>33557</v>
      </c>
    </row>
    <row r="16" spans="1:3" x14ac:dyDescent="0.3">
      <c r="A16" s="30" t="s">
        <v>67</v>
      </c>
      <c r="B16" s="12">
        <v>2186</v>
      </c>
      <c r="C16" s="12">
        <v>2186</v>
      </c>
    </row>
    <row r="17" spans="1:3" x14ac:dyDescent="0.3">
      <c r="A17" s="30" t="s">
        <v>69</v>
      </c>
      <c r="B17" s="12">
        <v>4841</v>
      </c>
      <c r="C17" s="12">
        <v>4841</v>
      </c>
    </row>
    <row r="18" spans="1:3" x14ac:dyDescent="0.3">
      <c r="A18" s="30" t="s">
        <v>91</v>
      </c>
      <c r="B18" s="12">
        <v>4236</v>
      </c>
      <c r="C18" s="12">
        <v>4236</v>
      </c>
    </row>
    <row r="19" spans="1:3" x14ac:dyDescent="0.3">
      <c r="A19" s="30" t="s">
        <v>9</v>
      </c>
      <c r="B19" s="12">
        <v>7213</v>
      </c>
      <c r="C19" s="12">
        <v>7213</v>
      </c>
    </row>
    <row r="20" spans="1:3" x14ac:dyDescent="0.3">
      <c r="A20" s="30" t="s">
        <v>119</v>
      </c>
      <c r="B20" s="12">
        <v>4175</v>
      </c>
      <c r="C20" s="12">
        <v>0</v>
      </c>
    </row>
    <row r="21" spans="1:3" x14ac:dyDescent="0.3">
      <c r="A21" s="30" t="s">
        <v>13</v>
      </c>
      <c r="B21" s="12">
        <v>2431</v>
      </c>
      <c r="C21" s="12">
        <v>2431</v>
      </c>
    </row>
    <row r="22" spans="1:3" x14ac:dyDescent="0.3">
      <c r="A22" s="30" t="s">
        <v>136</v>
      </c>
      <c r="B22" s="12">
        <v>7504</v>
      </c>
      <c r="C22" s="12">
        <v>7504</v>
      </c>
    </row>
    <row r="23" spans="1:3" x14ac:dyDescent="0.3">
      <c r="A23" s="30" t="s">
        <v>152</v>
      </c>
      <c r="B23" s="12">
        <v>5146</v>
      </c>
      <c r="C23" s="12">
        <v>5146</v>
      </c>
    </row>
    <row r="24" spans="1:3" x14ac:dyDescent="0.3">
      <c r="A24" s="29" t="s">
        <v>63</v>
      </c>
      <c r="B24" s="12">
        <v>16222</v>
      </c>
      <c r="C24" s="12">
        <v>11607</v>
      </c>
    </row>
    <row r="25" spans="1:3" x14ac:dyDescent="0.3">
      <c r="A25" s="30" t="s">
        <v>4</v>
      </c>
      <c r="B25" s="12">
        <v>2395</v>
      </c>
      <c r="C25" s="12">
        <v>2395</v>
      </c>
    </row>
    <row r="26" spans="1:3" x14ac:dyDescent="0.3">
      <c r="A26" s="30" t="s">
        <v>81</v>
      </c>
      <c r="B26" s="12">
        <v>4615</v>
      </c>
      <c r="C26" s="12">
        <v>0</v>
      </c>
    </row>
    <row r="27" spans="1:3" x14ac:dyDescent="0.3">
      <c r="A27" s="30" t="s">
        <v>108</v>
      </c>
      <c r="B27" s="12">
        <v>5369</v>
      </c>
      <c r="C27" s="12">
        <v>5369</v>
      </c>
    </row>
    <row r="28" spans="1:3" x14ac:dyDescent="0.3">
      <c r="A28" s="30" t="s">
        <v>133</v>
      </c>
      <c r="B28" s="12">
        <v>3843</v>
      </c>
      <c r="C28" s="12">
        <v>3843</v>
      </c>
    </row>
    <row r="29" spans="1:3" x14ac:dyDescent="0.3">
      <c r="A29" s="29" t="s">
        <v>48</v>
      </c>
      <c r="B29" s="12">
        <v>45347</v>
      </c>
      <c r="C29" s="12">
        <v>27214</v>
      </c>
    </row>
    <row r="30" spans="1:3" x14ac:dyDescent="0.3">
      <c r="A30" s="30" t="s">
        <v>49</v>
      </c>
      <c r="B30" s="12">
        <v>7140</v>
      </c>
      <c r="C30" s="12">
        <v>7140</v>
      </c>
    </row>
    <row r="31" spans="1:3" x14ac:dyDescent="0.3">
      <c r="A31" s="30" t="s">
        <v>76</v>
      </c>
      <c r="B31" s="12">
        <v>6486</v>
      </c>
      <c r="C31" s="12">
        <v>6486</v>
      </c>
    </row>
    <row r="32" spans="1:3" x14ac:dyDescent="0.3">
      <c r="A32" s="30" t="s">
        <v>84</v>
      </c>
      <c r="B32" s="12">
        <v>4995</v>
      </c>
      <c r="C32" s="12">
        <v>4995</v>
      </c>
    </row>
    <row r="33" spans="1:3" x14ac:dyDescent="0.3">
      <c r="A33" s="30" t="s">
        <v>97</v>
      </c>
      <c r="B33" s="12">
        <v>5433</v>
      </c>
      <c r="C33" s="12">
        <v>5433</v>
      </c>
    </row>
    <row r="34" spans="1:3" x14ac:dyDescent="0.3">
      <c r="A34" s="30" t="s">
        <v>101</v>
      </c>
      <c r="B34" s="12">
        <v>3160</v>
      </c>
      <c r="C34" s="12">
        <v>3160</v>
      </c>
    </row>
    <row r="35" spans="1:3" x14ac:dyDescent="0.3">
      <c r="A35" s="30" t="s">
        <v>105</v>
      </c>
      <c r="B35" s="12">
        <v>3551</v>
      </c>
      <c r="C35" s="12">
        <v>0</v>
      </c>
    </row>
    <row r="36" spans="1:3" x14ac:dyDescent="0.3">
      <c r="A36" s="30" t="s">
        <v>11</v>
      </c>
      <c r="B36" s="12">
        <v>4642</v>
      </c>
      <c r="C36" s="12">
        <v>0</v>
      </c>
    </row>
    <row r="37" spans="1:3" x14ac:dyDescent="0.3">
      <c r="A37" s="30" t="s">
        <v>113</v>
      </c>
      <c r="B37" s="12">
        <v>7299</v>
      </c>
      <c r="C37" s="12">
        <v>0</v>
      </c>
    </row>
    <row r="38" spans="1:3" x14ac:dyDescent="0.3">
      <c r="A38" s="30" t="s">
        <v>145</v>
      </c>
      <c r="B38" s="12">
        <v>2641</v>
      </c>
      <c r="C38" s="12">
        <v>0</v>
      </c>
    </row>
    <row r="39" spans="1:3" x14ac:dyDescent="0.3">
      <c r="A39" s="29" t="s">
        <v>30</v>
      </c>
      <c r="B39" s="12">
        <v>24125</v>
      </c>
      <c r="C39" s="12">
        <v>16202</v>
      </c>
    </row>
    <row r="40" spans="1:3" x14ac:dyDescent="0.3">
      <c r="A40" s="30" t="s">
        <v>31</v>
      </c>
      <c r="B40" s="12">
        <v>5048</v>
      </c>
      <c r="C40" s="12">
        <v>5048</v>
      </c>
    </row>
    <row r="41" spans="1:3" x14ac:dyDescent="0.3">
      <c r="A41" s="30" t="s">
        <v>44</v>
      </c>
      <c r="B41" s="12">
        <v>1569</v>
      </c>
      <c r="C41" s="12">
        <v>0</v>
      </c>
    </row>
    <row r="42" spans="1:3" x14ac:dyDescent="0.3">
      <c r="A42" s="30" t="s">
        <v>60</v>
      </c>
      <c r="B42" s="12">
        <v>6354</v>
      </c>
      <c r="C42" s="12">
        <v>0</v>
      </c>
    </row>
    <row r="43" spans="1:3" x14ac:dyDescent="0.3">
      <c r="A43" s="30" t="s">
        <v>87</v>
      </c>
      <c r="B43" s="12">
        <v>5429</v>
      </c>
      <c r="C43" s="12">
        <v>5429</v>
      </c>
    </row>
    <row r="44" spans="1:3" x14ac:dyDescent="0.3">
      <c r="A44" s="30" t="s">
        <v>116</v>
      </c>
      <c r="B44" s="12">
        <v>5725</v>
      </c>
      <c r="C44" s="12">
        <v>5725</v>
      </c>
    </row>
    <row r="45" spans="1:3" x14ac:dyDescent="0.3">
      <c r="A45" s="29" t="s">
        <v>39</v>
      </c>
      <c r="B45" s="12">
        <v>25376</v>
      </c>
      <c r="C45" s="12">
        <v>11173</v>
      </c>
    </row>
    <row r="46" spans="1:3" x14ac:dyDescent="0.3">
      <c r="A46" s="30" t="s">
        <v>40</v>
      </c>
      <c r="B46" s="12">
        <v>7839</v>
      </c>
      <c r="C46" s="12">
        <v>0</v>
      </c>
    </row>
    <row r="47" spans="1:3" x14ac:dyDescent="0.3">
      <c r="A47" s="30" t="s">
        <v>2</v>
      </c>
      <c r="B47" s="12">
        <v>6364</v>
      </c>
      <c r="C47" s="12">
        <v>0</v>
      </c>
    </row>
    <row r="48" spans="1:3" x14ac:dyDescent="0.3">
      <c r="A48" s="30" t="s">
        <v>6</v>
      </c>
      <c r="B48" s="12">
        <v>6125</v>
      </c>
      <c r="C48" s="12">
        <v>6125</v>
      </c>
    </row>
    <row r="49" spans="1:3" x14ac:dyDescent="0.3">
      <c r="A49" s="30" t="s">
        <v>148</v>
      </c>
      <c r="B49" s="12">
        <v>5048</v>
      </c>
      <c r="C49" s="12">
        <v>5048</v>
      </c>
    </row>
    <row r="50" spans="1:3" x14ac:dyDescent="0.3">
      <c r="A50" s="29" t="s">
        <v>161</v>
      </c>
      <c r="B50" s="12">
        <v>191382</v>
      </c>
      <c r="C50" s="12">
        <v>122158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opLeftCell="A2" zoomScale="72" workbookViewId="0">
      <selection activeCell="E4" sqref="E4"/>
    </sheetView>
  </sheetViews>
  <sheetFormatPr defaultRowHeight="14.4" x14ac:dyDescent="0.3"/>
  <cols>
    <col min="1" max="1" width="31.44140625" style="20" customWidth="1"/>
    <col min="2" max="2" width="28.21875" style="11" customWidth="1"/>
    <col min="3" max="3" width="23.21875" customWidth="1"/>
    <col min="4" max="4" width="22.21875" customWidth="1"/>
    <col min="5" max="5" width="25.21875" style="11" customWidth="1"/>
    <col min="6" max="6" width="21.6640625" style="20" customWidth="1"/>
    <col min="7" max="7" width="25" style="11" customWidth="1"/>
    <col min="8" max="8" width="26.109375" style="11" customWidth="1"/>
    <col min="9" max="9" width="24" style="11" customWidth="1"/>
    <col min="10" max="10" width="26" style="11" customWidth="1"/>
    <col min="11" max="11" width="11.6640625" bestFit="1" customWidth="1"/>
  </cols>
  <sheetData>
    <row r="1" spans="1:11" ht="28.8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9" t="s">
        <v>154</v>
      </c>
      <c r="I1" s="8" t="s">
        <v>155</v>
      </c>
      <c r="J1" s="8" t="s">
        <v>156</v>
      </c>
      <c r="K1" s="27" t="s">
        <v>157</v>
      </c>
    </row>
    <row r="2" spans="1:11" x14ac:dyDescent="0.3">
      <c r="A2" s="16" t="s">
        <v>25</v>
      </c>
      <c r="B2" s="1" t="s">
        <v>26</v>
      </c>
      <c r="C2" s="1" t="s">
        <v>0</v>
      </c>
      <c r="D2" s="1" t="s">
        <v>1</v>
      </c>
      <c r="E2" s="21">
        <v>5393</v>
      </c>
      <c r="F2" s="24">
        <v>0</v>
      </c>
      <c r="G2" s="21" t="s">
        <v>27</v>
      </c>
      <c r="H2" s="1" t="str">
        <f ca="1">IF(F2&gt;=E2, "Paid", IF(TODAY()&gt;D2, "Overdue", "Pending"))</f>
        <v>Pending</v>
      </c>
      <c r="I2" s="13">
        <f t="shared" ref="I2:I41" si="0">SUM(E2:E41)</f>
        <v>191382</v>
      </c>
      <c r="J2" s="13">
        <f t="shared" ref="J2:J41" si="1">SUM(F2:F41)</f>
        <v>122158</v>
      </c>
      <c r="K2" s="6" t="e">
        <f>E1-F1</f>
        <v>#VALUE!</v>
      </c>
    </row>
    <row r="3" spans="1:11" x14ac:dyDescent="0.3">
      <c r="A3" s="17" t="s">
        <v>29</v>
      </c>
      <c r="B3" s="2" t="s">
        <v>30</v>
      </c>
      <c r="C3" s="2" t="s">
        <v>31</v>
      </c>
      <c r="D3" s="2" t="s">
        <v>32</v>
      </c>
      <c r="E3" s="22">
        <v>5048</v>
      </c>
      <c r="F3" s="25">
        <v>5048</v>
      </c>
      <c r="G3" s="22" t="s">
        <v>33</v>
      </c>
      <c r="H3" s="10" t="s">
        <v>34</v>
      </c>
      <c r="I3" s="14">
        <f t="shared" si="0"/>
        <v>185989</v>
      </c>
      <c r="J3" s="14">
        <f t="shared" si="1"/>
        <v>122158</v>
      </c>
      <c r="K3" s="5">
        <f t="shared" ref="K2:K41" si="2">E2-F2</f>
        <v>5393</v>
      </c>
    </row>
    <row r="4" spans="1:11" x14ac:dyDescent="0.3">
      <c r="A4" s="18" t="s">
        <v>35</v>
      </c>
      <c r="B4" s="1" t="s">
        <v>26</v>
      </c>
      <c r="C4" s="1" t="s">
        <v>36</v>
      </c>
      <c r="D4" s="1" t="s">
        <v>37</v>
      </c>
      <c r="E4" s="21">
        <v>5142</v>
      </c>
      <c r="F4" s="24">
        <v>0</v>
      </c>
      <c r="G4" s="21" t="s">
        <v>27</v>
      </c>
      <c r="H4" s="1" t="s">
        <v>28</v>
      </c>
      <c r="I4" s="14">
        <f t="shared" si="0"/>
        <v>180941</v>
      </c>
      <c r="J4" s="14">
        <f t="shared" si="1"/>
        <v>117110</v>
      </c>
      <c r="K4" s="5">
        <f t="shared" si="2"/>
        <v>0</v>
      </c>
    </row>
    <row r="5" spans="1:11" x14ac:dyDescent="0.3">
      <c r="A5" s="17" t="s">
        <v>38</v>
      </c>
      <c r="B5" s="2" t="s">
        <v>39</v>
      </c>
      <c r="C5" s="2" t="s">
        <v>40</v>
      </c>
      <c r="D5" s="2" t="s">
        <v>41</v>
      </c>
      <c r="E5" s="22">
        <v>7839</v>
      </c>
      <c r="F5" s="25">
        <v>0</v>
      </c>
      <c r="G5" s="22" t="s">
        <v>27</v>
      </c>
      <c r="H5" s="2" t="s">
        <v>42</v>
      </c>
      <c r="I5" s="14">
        <f t="shared" si="0"/>
        <v>175799</v>
      </c>
      <c r="J5" s="14">
        <f t="shared" si="1"/>
        <v>117110</v>
      </c>
      <c r="K5" s="5">
        <f t="shared" si="2"/>
        <v>5142</v>
      </c>
    </row>
    <row r="6" spans="1:11" x14ac:dyDescent="0.3">
      <c r="A6" s="18" t="s">
        <v>43</v>
      </c>
      <c r="B6" s="1" t="s">
        <v>30</v>
      </c>
      <c r="C6" s="1" t="s">
        <v>44</v>
      </c>
      <c r="D6" s="1" t="s">
        <v>45</v>
      </c>
      <c r="E6" s="21">
        <v>1569</v>
      </c>
      <c r="F6" s="24">
        <v>0</v>
      </c>
      <c r="G6" s="21" t="s">
        <v>27</v>
      </c>
      <c r="H6" s="1" t="s">
        <v>42</v>
      </c>
      <c r="I6" s="14">
        <f t="shared" si="0"/>
        <v>167960</v>
      </c>
      <c r="J6" s="14">
        <f t="shared" si="1"/>
        <v>117110</v>
      </c>
      <c r="K6" s="5">
        <f t="shared" si="2"/>
        <v>7839</v>
      </c>
    </row>
    <row r="7" spans="1:11" x14ac:dyDescent="0.3">
      <c r="A7" s="17" t="s">
        <v>46</v>
      </c>
      <c r="B7" s="2" t="s">
        <v>39</v>
      </c>
      <c r="C7" s="2" t="s">
        <v>2</v>
      </c>
      <c r="D7" s="2" t="s">
        <v>3</v>
      </c>
      <c r="E7" s="22">
        <v>6364</v>
      </c>
      <c r="F7" s="25">
        <v>0</v>
      </c>
      <c r="G7" s="22" t="s">
        <v>27</v>
      </c>
      <c r="H7" s="2" t="s">
        <v>42</v>
      </c>
      <c r="I7" s="14">
        <f t="shared" si="0"/>
        <v>166391</v>
      </c>
      <c r="J7" s="14">
        <f t="shared" si="1"/>
        <v>117110</v>
      </c>
      <c r="K7" s="5">
        <f t="shared" si="2"/>
        <v>1569</v>
      </c>
    </row>
    <row r="8" spans="1:11" x14ac:dyDescent="0.3">
      <c r="A8" s="18" t="s">
        <v>47</v>
      </c>
      <c r="B8" s="1" t="s">
        <v>48</v>
      </c>
      <c r="C8" s="1" t="s">
        <v>49</v>
      </c>
      <c r="D8" s="1" t="s">
        <v>50</v>
      </c>
      <c r="E8" s="21">
        <v>7140</v>
      </c>
      <c r="F8" s="24">
        <v>7140</v>
      </c>
      <c r="G8" s="21" t="s">
        <v>51</v>
      </c>
      <c r="H8" s="1" t="s">
        <v>34</v>
      </c>
      <c r="I8" s="14">
        <f t="shared" si="0"/>
        <v>160027</v>
      </c>
      <c r="J8" s="14">
        <f t="shared" si="1"/>
        <v>117110</v>
      </c>
      <c r="K8" s="5">
        <f t="shared" si="2"/>
        <v>6364</v>
      </c>
    </row>
    <row r="9" spans="1:11" x14ac:dyDescent="0.3">
      <c r="A9" s="17" t="s">
        <v>52</v>
      </c>
      <c r="B9" s="2" t="s">
        <v>26</v>
      </c>
      <c r="C9" s="2" t="s">
        <v>51</v>
      </c>
      <c r="D9" s="2" t="s">
        <v>53</v>
      </c>
      <c r="E9" s="22">
        <v>5588</v>
      </c>
      <c r="F9" s="25">
        <v>5588</v>
      </c>
      <c r="G9" s="22" t="s">
        <v>54</v>
      </c>
      <c r="H9" s="2" t="s">
        <v>34</v>
      </c>
      <c r="I9" s="14">
        <f t="shared" si="0"/>
        <v>152887</v>
      </c>
      <c r="J9" s="14">
        <f t="shared" si="1"/>
        <v>109970</v>
      </c>
      <c r="K9" s="5">
        <f t="shared" si="2"/>
        <v>0</v>
      </c>
    </row>
    <row r="10" spans="1:11" x14ac:dyDescent="0.3">
      <c r="A10" s="18" t="s">
        <v>55</v>
      </c>
      <c r="B10" s="1" t="s">
        <v>26</v>
      </c>
      <c r="C10" s="1" t="s">
        <v>56</v>
      </c>
      <c r="D10" s="1" t="s">
        <v>57</v>
      </c>
      <c r="E10" s="21">
        <v>3827</v>
      </c>
      <c r="F10" s="24">
        <v>3827</v>
      </c>
      <c r="G10" s="21" t="s">
        <v>58</v>
      </c>
      <c r="H10" s="1" t="s">
        <v>34</v>
      </c>
      <c r="I10" s="14">
        <f t="shared" si="0"/>
        <v>147299</v>
      </c>
      <c r="J10" s="14">
        <f t="shared" si="1"/>
        <v>104382</v>
      </c>
      <c r="K10" s="5">
        <f t="shared" si="2"/>
        <v>0</v>
      </c>
    </row>
    <row r="11" spans="1:11" x14ac:dyDescent="0.3">
      <c r="A11" s="17" t="s">
        <v>59</v>
      </c>
      <c r="B11" s="2" t="s">
        <v>30</v>
      </c>
      <c r="C11" s="2" t="s">
        <v>60</v>
      </c>
      <c r="D11" s="2" t="s">
        <v>61</v>
      </c>
      <c r="E11" s="22">
        <v>6354</v>
      </c>
      <c r="F11" s="25">
        <v>0</v>
      </c>
      <c r="G11" s="22" t="s">
        <v>27</v>
      </c>
      <c r="H11" s="2" t="s">
        <v>28</v>
      </c>
      <c r="I11" s="14">
        <f t="shared" si="0"/>
        <v>143472</v>
      </c>
      <c r="J11" s="14">
        <f t="shared" si="1"/>
        <v>100555</v>
      </c>
      <c r="K11" s="5">
        <f t="shared" si="2"/>
        <v>0</v>
      </c>
    </row>
    <row r="12" spans="1:11" x14ac:dyDescent="0.3">
      <c r="A12" s="18" t="s">
        <v>62</v>
      </c>
      <c r="B12" s="1" t="s">
        <v>63</v>
      </c>
      <c r="C12" s="1" t="s">
        <v>4</v>
      </c>
      <c r="D12" s="1" t="s">
        <v>5</v>
      </c>
      <c r="E12" s="21">
        <v>2395</v>
      </c>
      <c r="F12" s="24">
        <v>2395</v>
      </c>
      <c r="G12" s="21" t="s">
        <v>64</v>
      </c>
      <c r="H12" s="1" t="s">
        <v>34</v>
      </c>
      <c r="I12" s="14">
        <f t="shared" si="0"/>
        <v>137118</v>
      </c>
      <c r="J12" s="14">
        <f t="shared" si="1"/>
        <v>100555</v>
      </c>
      <c r="K12" s="5">
        <f t="shared" si="2"/>
        <v>6354</v>
      </c>
    </row>
    <row r="13" spans="1:11" x14ac:dyDescent="0.3">
      <c r="A13" s="17" t="s">
        <v>65</v>
      </c>
      <c r="B13" s="2" t="s">
        <v>66</v>
      </c>
      <c r="C13" s="2" t="s">
        <v>67</v>
      </c>
      <c r="D13" s="2" t="s">
        <v>68</v>
      </c>
      <c r="E13" s="22">
        <v>2186</v>
      </c>
      <c r="F13" s="25">
        <v>2186</v>
      </c>
      <c r="G13" s="22" t="s">
        <v>69</v>
      </c>
      <c r="H13" s="2" t="s">
        <v>34</v>
      </c>
      <c r="I13" s="14">
        <f t="shared" si="0"/>
        <v>134723</v>
      </c>
      <c r="J13" s="14">
        <f t="shared" si="1"/>
        <v>98160</v>
      </c>
      <c r="K13" s="5">
        <f t="shared" si="2"/>
        <v>0</v>
      </c>
    </row>
    <row r="14" spans="1:11" x14ac:dyDescent="0.3">
      <c r="A14" s="18" t="s">
        <v>70</v>
      </c>
      <c r="B14" s="1" t="s">
        <v>26</v>
      </c>
      <c r="C14" s="1" t="s">
        <v>71</v>
      </c>
      <c r="D14" s="1" t="s">
        <v>72</v>
      </c>
      <c r="E14" s="21">
        <v>4557</v>
      </c>
      <c r="F14" s="24">
        <v>0</v>
      </c>
      <c r="G14" s="21" t="s">
        <v>27</v>
      </c>
      <c r="H14" s="1" t="s">
        <v>28</v>
      </c>
      <c r="I14" s="14">
        <f t="shared" si="0"/>
        <v>132537</v>
      </c>
      <c r="J14" s="14">
        <f t="shared" si="1"/>
        <v>95974</v>
      </c>
      <c r="K14" s="5">
        <f t="shared" si="2"/>
        <v>0</v>
      </c>
    </row>
    <row r="15" spans="1:11" x14ac:dyDescent="0.3">
      <c r="A15" s="17" t="s">
        <v>73</v>
      </c>
      <c r="B15" s="2" t="s">
        <v>66</v>
      </c>
      <c r="C15" s="2" t="s">
        <v>69</v>
      </c>
      <c r="D15" s="2" t="s">
        <v>74</v>
      </c>
      <c r="E15" s="22">
        <v>4841</v>
      </c>
      <c r="F15" s="25">
        <v>4841</v>
      </c>
      <c r="G15" s="22" t="s">
        <v>6</v>
      </c>
      <c r="H15" s="2" t="s">
        <v>34</v>
      </c>
      <c r="I15" s="14">
        <f t="shared" si="0"/>
        <v>127980</v>
      </c>
      <c r="J15" s="14">
        <f t="shared" si="1"/>
        <v>95974</v>
      </c>
      <c r="K15" s="5">
        <f t="shared" si="2"/>
        <v>4557</v>
      </c>
    </row>
    <row r="16" spans="1:11" x14ac:dyDescent="0.3">
      <c r="A16" s="18" t="s">
        <v>75</v>
      </c>
      <c r="B16" s="1" t="s">
        <v>48</v>
      </c>
      <c r="C16" s="1" t="s">
        <v>76</v>
      </c>
      <c r="D16" s="1" t="s">
        <v>77</v>
      </c>
      <c r="E16" s="21">
        <v>6486</v>
      </c>
      <c r="F16" s="24">
        <v>6486</v>
      </c>
      <c r="G16" s="21" t="s">
        <v>7</v>
      </c>
      <c r="H16" s="1" t="s">
        <v>34</v>
      </c>
      <c r="I16" s="14">
        <f t="shared" si="0"/>
        <v>123139</v>
      </c>
      <c r="J16" s="14">
        <f t="shared" si="1"/>
        <v>91133</v>
      </c>
      <c r="K16" s="5">
        <f t="shared" si="2"/>
        <v>0</v>
      </c>
    </row>
    <row r="17" spans="1:11" x14ac:dyDescent="0.3">
      <c r="A17" s="17" t="s">
        <v>78</v>
      </c>
      <c r="B17" s="2" t="s">
        <v>39</v>
      </c>
      <c r="C17" s="2" t="s">
        <v>6</v>
      </c>
      <c r="D17" s="2" t="s">
        <v>8</v>
      </c>
      <c r="E17" s="22">
        <v>6125</v>
      </c>
      <c r="F17" s="25">
        <v>6125</v>
      </c>
      <c r="G17" s="22" t="s">
        <v>79</v>
      </c>
      <c r="H17" s="2" t="s">
        <v>34</v>
      </c>
      <c r="I17" s="14">
        <f t="shared" si="0"/>
        <v>116653</v>
      </c>
      <c r="J17" s="14">
        <f t="shared" si="1"/>
        <v>84647</v>
      </c>
      <c r="K17" s="5">
        <f t="shared" si="2"/>
        <v>0</v>
      </c>
    </row>
    <row r="18" spans="1:11" x14ac:dyDescent="0.3">
      <c r="A18" s="18" t="s">
        <v>80</v>
      </c>
      <c r="B18" s="1" t="s">
        <v>63</v>
      </c>
      <c r="C18" s="1" t="s">
        <v>81</v>
      </c>
      <c r="D18" s="1" t="s">
        <v>82</v>
      </c>
      <c r="E18" s="21">
        <v>4615</v>
      </c>
      <c r="F18" s="24">
        <v>0</v>
      </c>
      <c r="G18" s="21" t="s">
        <v>27</v>
      </c>
      <c r="H18" s="1" t="s">
        <v>28</v>
      </c>
      <c r="I18" s="14">
        <f t="shared" si="0"/>
        <v>110528</v>
      </c>
      <c r="J18" s="14">
        <f t="shared" si="1"/>
        <v>78522</v>
      </c>
      <c r="K18" s="5">
        <f t="shared" si="2"/>
        <v>0</v>
      </c>
    </row>
    <row r="19" spans="1:11" x14ac:dyDescent="0.3">
      <c r="A19" s="17" t="s">
        <v>83</v>
      </c>
      <c r="B19" s="2" t="s">
        <v>48</v>
      </c>
      <c r="C19" s="2" t="s">
        <v>84</v>
      </c>
      <c r="D19" s="2" t="s">
        <v>85</v>
      </c>
      <c r="E19" s="22">
        <v>4995</v>
      </c>
      <c r="F19" s="25">
        <v>4995</v>
      </c>
      <c r="G19" s="22" t="s">
        <v>82</v>
      </c>
      <c r="H19" s="2" t="s">
        <v>34</v>
      </c>
      <c r="I19" s="14">
        <f t="shared" si="0"/>
        <v>105913</v>
      </c>
      <c r="J19" s="14">
        <f t="shared" si="1"/>
        <v>78522</v>
      </c>
      <c r="K19" s="5">
        <f t="shared" si="2"/>
        <v>4615</v>
      </c>
    </row>
    <row r="20" spans="1:11" x14ac:dyDescent="0.3">
      <c r="A20" s="18" t="s">
        <v>86</v>
      </c>
      <c r="B20" s="1" t="s">
        <v>30</v>
      </c>
      <c r="C20" s="1" t="s">
        <v>87</v>
      </c>
      <c r="D20" s="1" t="s">
        <v>88</v>
      </c>
      <c r="E20" s="21">
        <v>5429</v>
      </c>
      <c r="F20" s="24">
        <v>5429</v>
      </c>
      <c r="G20" s="21" t="s">
        <v>89</v>
      </c>
      <c r="H20" s="1" t="s">
        <v>34</v>
      </c>
      <c r="I20" s="14">
        <f t="shared" si="0"/>
        <v>100918</v>
      </c>
      <c r="J20" s="14">
        <f t="shared" si="1"/>
        <v>73527</v>
      </c>
      <c r="K20" s="5">
        <f t="shared" si="2"/>
        <v>0</v>
      </c>
    </row>
    <row r="21" spans="1:11" x14ac:dyDescent="0.3">
      <c r="A21" s="17" t="s">
        <v>90</v>
      </c>
      <c r="B21" s="2" t="s">
        <v>66</v>
      </c>
      <c r="C21" s="2" t="s">
        <v>91</v>
      </c>
      <c r="D21" s="2" t="s">
        <v>92</v>
      </c>
      <c r="E21" s="22">
        <v>4236</v>
      </c>
      <c r="F21" s="25">
        <v>4236</v>
      </c>
      <c r="G21" s="22" t="s">
        <v>93</v>
      </c>
      <c r="H21" s="2" t="s">
        <v>34</v>
      </c>
      <c r="I21" s="14">
        <f t="shared" si="0"/>
        <v>95489</v>
      </c>
      <c r="J21" s="14">
        <f t="shared" si="1"/>
        <v>68098</v>
      </c>
      <c r="K21" s="5">
        <f t="shared" si="2"/>
        <v>0</v>
      </c>
    </row>
    <row r="22" spans="1:11" x14ac:dyDescent="0.3">
      <c r="A22" s="18" t="s">
        <v>94</v>
      </c>
      <c r="B22" s="1" t="s">
        <v>66</v>
      </c>
      <c r="C22" s="1" t="s">
        <v>9</v>
      </c>
      <c r="D22" s="1" t="s">
        <v>10</v>
      </c>
      <c r="E22" s="21">
        <v>7213</v>
      </c>
      <c r="F22" s="24">
        <v>7213</v>
      </c>
      <c r="G22" s="21" t="s">
        <v>95</v>
      </c>
      <c r="H22" s="1" t="s">
        <v>34</v>
      </c>
      <c r="I22" s="14">
        <f t="shared" si="0"/>
        <v>91253</v>
      </c>
      <c r="J22" s="14">
        <f t="shared" si="1"/>
        <v>63862</v>
      </c>
      <c r="K22" s="5">
        <f t="shared" si="2"/>
        <v>0</v>
      </c>
    </row>
    <row r="23" spans="1:11" x14ac:dyDescent="0.3">
      <c r="A23" s="17" t="s">
        <v>96</v>
      </c>
      <c r="B23" s="2" t="s">
        <v>48</v>
      </c>
      <c r="C23" s="2" t="s">
        <v>97</v>
      </c>
      <c r="D23" s="2" t="s">
        <v>98</v>
      </c>
      <c r="E23" s="22">
        <v>5433</v>
      </c>
      <c r="F23" s="25">
        <v>5433</v>
      </c>
      <c r="G23" s="22" t="s">
        <v>99</v>
      </c>
      <c r="H23" s="2" t="s">
        <v>34</v>
      </c>
      <c r="I23" s="14">
        <f t="shared" si="0"/>
        <v>84040</v>
      </c>
      <c r="J23" s="14">
        <f t="shared" si="1"/>
        <v>56649</v>
      </c>
      <c r="K23" s="5">
        <f t="shared" si="2"/>
        <v>0</v>
      </c>
    </row>
    <row r="24" spans="1:11" x14ac:dyDescent="0.3">
      <c r="A24" s="18" t="s">
        <v>100</v>
      </c>
      <c r="B24" s="1" t="s">
        <v>48</v>
      </c>
      <c r="C24" s="1" t="s">
        <v>101</v>
      </c>
      <c r="D24" s="1" t="s">
        <v>102</v>
      </c>
      <c r="E24" s="21">
        <v>3160</v>
      </c>
      <c r="F24" s="24">
        <v>3160</v>
      </c>
      <c r="G24" s="21" t="s">
        <v>103</v>
      </c>
      <c r="H24" s="1" t="s">
        <v>34</v>
      </c>
      <c r="I24" s="14">
        <f t="shared" si="0"/>
        <v>78607</v>
      </c>
      <c r="J24" s="14">
        <f t="shared" si="1"/>
        <v>51216</v>
      </c>
      <c r="K24" s="5">
        <f t="shared" si="2"/>
        <v>0</v>
      </c>
    </row>
    <row r="25" spans="1:11" x14ac:dyDescent="0.3">
      <c r="A25" s="17" t="s">
        <v>104</v>
      </c>
      <c r="B25" s="2" t="s">
        <v>48</v>
      </c>
      <c r="C25" s="2" t="s">
        <v>105</v>
      </c>
      <c r="D25" s="2" t="s">
        <v>106</v>
      </c>
      <c r="E25" s="22">
        <v>3551</v>
      </c>
      <c r="F25" s="25">
        <v>0</v>
      </c>
      <c r="G25" s="22" t="s">
        <v>27</v>
      </c>
      <c r="H25" s="2" t="s">
        <v>42</v>
      </c>
      <c r="I25" s="14">
        <f t="shared" si="0"/>
        <v>75447</v>
      </c>
      <c r="J25" s="14">
        <f t="shared" si="1"/>
        <v>48056</v>
      </c>
      <c r="K25" s="5">
        <f t="shared" si="2"/>
        <v>0</v>
      </c>
    </row>
    <row r="26" spans="1:11" x14ac:dyDescent="0.3">
      <c r="A26" s="18" t="s">
        <v>107</v>
      </c>
      <c r="B26" s="1" t="s">
        <v>63</v>
      </c>
      <c r="C26" s="1" t="s">
        <v>108</v>
      </c>
      <c r="D26" s="1" t="s">
        <v>109</v>
      </c>
      <c r="E26" s="21">
        <v>5369</v>
      </c>
      <c r="F26" s="24">
        <v>5369</v>
      </c>
      <c r="G26" s="21" t="s">
        <v>110</v>
      </c>
      <c r="H26" s="1" t="s">
        <v>34</v>
      </c>
      <c r="I26" s="14">
        <f t="shared" si="0"/>
        <v>71896</v>
      </c>
      <c r="J26" s="14">
        <f t="shared" si="1"/>
        <v>48056</v>
      </c>
      <c r="K26" s="5">
        <f t="shared" si="2"/>
        <v>3551</v>
      </c>
    </row>
    <row r="27" spans="1:11" x14ac:dyDescent="0.3">
      <c r="A27" s="17" t="s">
        <v>111</v>
      </c>
      <c r="B27" s="2" t="s">
        <v>48</v>
      </c>
      <c r="C27" s="2" t="s">
        <v>11</v>
      </c>
      <c r="D27" s="2" t="s">
        <v>12</v>
      </c>
      <c r="E27" s="22">
        <v>4642</v>
      </c>
      <c r="F27" s="25">
        <v>0</v>
      </c>
      <c r="G27" s="22" t="s">
        <v>27</v>
      </c>
      <c r="H27" s="2" t="s">
        <v>28</v>
      </c>
      <c r="I27" s="14">
        <f t="shared" si="0"/>
        <v>66527</v>
      </c>
      <c r="J27" s="14">
        <f t="shared" si="1"/>
        <v>42687</v>
      </c>
      <c r="K27" s="5">
        <f t="shared" si="2"/>
        <v>0</v>
      </c>
    </row>
    <row r="28" spans="1:11" x14ac:dyDescent="0.3">
      <c r="A28" s="18" t="s">
        <v>112</v>
      </c>
      <c r="B28" s="1" t="s">
        <v>48</v>
      </c>
      <c r="C28" s="1" t="s">
        <v>113</v>
      </c>
      <c r="D28" s="1" t="s">
        <v>114</v>
      </c>
      <c r="E28" s="21">
        <v>7299</v>
      </c>
      <c r="F28" s="24">
        <v>0</v>
      </c>
      <c r="G28" s="21" t="s">
        <v>27</v>
      </c>
      <c r="H28" s="1" t="s">
        <v>42</v>
      </c>
      <c r="I28" s="14">
        <f t="shared" si="0"/>
        <v>61885</v>
      </c>
      <c r="J28" s="14">
        <f t="shared" si="1"/>
        <v>42687</v>
      </c>
      <c r="K28" s="5">
        <f t="shared" si="2"/>
        <v>4642</v>
      </c>
    </row>
    <row r="29" spans="1:11" x14ac:dyDescent="0.3">
      <c r="A29" s="17" t="s">
        <v>115</v>
      </c>
      <c r="B29" s="2" t="s">
        <v>30</v>
      </c>
      <c r="C29" s="2" t="s">
        <v>116</v>
      </c>
      <c r="D29" s="2" t="s">
        <v>117</v>
      </c>
      <c r="E29" s="22">
        <v>5725</v>
      </c>
      <c r="F29" s="25">
        <v>5725</v>
      </c>
      <c r="G29" s="22" t="s">
        <v>13</v>
      </c>
      <c r="H29" s="2" t="s">
        <v>34</v>
      </c>
      <c r="I29" s="14">
        <f t="shared" si="0"/>
        <v>54586</v>
      </c>
      <c r="J29" s="14">
        <f t="shared" si="1"/>
        <v>42687</v>
      </c>
      <c r="K29" s="5">
        <f t="shared" si="2"/>
        <v>7299</v>
      </c>
    </row>
    <row r="30" spans="1:11" x14ac:dyDescent="0.3">
      <c r="A30" s="18" t="s">
        <v>118</v>
      </c>
      <c r="B30" s="1" t="s">
        <v>66</v>
      </c>
      <c r="C30" s="1" t="s">
        <v>119</v>
      </c>
      <c r="D30" s="1" t="s">
        <v>120</v>
      </c>
      <c r="E30" s="21">
        <v>4175</v>
      </c>
      <c r="F30" s="24">
        <v>0</v>
      </c>
      <c r="G30" s="21" t="s">
        <v>27</v>
      </c>
      <c r="H30" s="1" t="s">
        <v>28</v>
      </c>
      <c r="I30" s="14">
        <f t="shared" si="0"/>
        <v>48861</v>
      </c>
      <c r="J30" s="14">
        <f t="shared" si="1"/>
        <v>36962</v>
      </c>
      <c r="K30" s="5">
        <f t="shared" si="2"/>
        <v>0</v>
      </c>
    </row>
    <row r="31" spans="1:11" x14ac:dyDescent="0.3">
      <c r="A31" s="17" t="s">
        <v>121</v>
      </c>
      <c r="B31" s="2" t="s">
        <v>26</v>
      </c>
      <c r="C31" s="2" t="s">
        <v>122</v>
      </c>
      <c r="D31" s="2" t="s">
        <v>123</v>
      </c>
      <c r="E31" s="22">
        <v>1240</v>
      </c>
      <c r="F31" s="25">
        <v>1240</v>
      </c>
      <c r="G31" s="22" t="s">
        <v>15</v>
      </c>
      <c r="H31" s="2" t="s">
        <v>34</v>
      </c>
      <c r="I31" s="14">
        <f t="shared" si="0"/>
        <v>44686</v>
      </c>
      <c r="J31" s="14">
        <f t="shared" si="1"/>
        <v>36962</v>
      </c>
      <c r="K31" s="5">
        <f t="shared" si="2"/>
        <v>4175</v>
      </c>
    </row>
    <row r="32" spans="1:11" x14ac:dyDescent="0.3">
      <c r="A32" s="18" t="s">
        <v>124</v>
      </c>
      <c r="B32" s="1" t="s">
        <v>66</v>
      </c>
      <c r="C32" s="1" t="s">
        <v>13</v>
      </c>
      <c r="D32" s="1" t="s">
        <v>16</v>
      </c>
      <c r="E32" s="21">
        <v>2431</v>
      </c>
      <c r="F32" s="24">
        <v>2431</v>
      </c>
      <c r="G32" s="21" t="s">
        <v>14</v>
      </c>
      <c r="H32" s="1" t="s">
        <v>34</v>
      </c>
      <c r="I32" s="14">
        <f t="shared" si="0"/>
        <v>43446</v>
      </c>
      <c r="J32" s="14">
        <f t="shared" si="1"/>
        <v>35722</v>
      </c>
      <c r="K32" s="5">
        <f t="shared" si="2"/>
        <v>0</v>
      </c>
    </row>
    <row r="33" spans="1:11" x14ac:dyDescent="0.3">
      <c r="A33" s="17" t="s">
        <v>125</v>
      </c>
      <c r="B33" s="2" t="s">
        <v>26</v>
      </c>
      <c r="C33" s="2" t="s">
        <v>126</v>
      </c>
      <c r="D33" s="2" t="s">
        <v>127</v>
      </c>
      <c r="E33" s="22">
        <v>5715</v>
      </c>
      <c r="F33" s="25">
        <v>5715</v>
      </c>
      <c r="G33" s="22" t="s">
        <v>128</v>
      </c>
      <c r="H33" s="2" t="s">
        <v>34</v>
      </c>
      <c r="I33" s="14">
        <f t="shared" si="0"/>
        <v>41015</v>
      </c>
      <c r="J33" s="14">
        <f t="shared" si="1"/>
        <v>33291</v>
      </c>
      <c r="K33" s="5">
        <f t="shared" si="2"/>
        <v>0</v>
      </c>
    </row>
    <row r="34" spans="1:11" x14ac:dyDescent="0.3">
      <c r="A34" s="18" t="s">
        <v>129</v>
      </c>
      <c r="B34" s="1" t="s">
        <v>26</v>
      </c>
      <c r="C34" s="1" t="s">
        <v>130</v>
      </c>
      <c r="D34" s="1" t="s">
        <v>131</v>
      </c>
      <c r="E34" s="21">
        <v>5083</v>
      </c>
      <c r="F34" s="24">
        <v>0</v>
      </c>
      <c r="G34" s="21" t="s">
        <v>27</v>
      </c>
      <c r="H34" s="1" t="s">
        <v>42</v>
      </c>
      <c r="I34" s="14">
        <f t="shared" si="0"/>
        <v>35300</v>
      </c>
      <c r="J34" s="14">
        <f t="shared" si="1"/>
        <v>27576</v>
      </c>
      <c r="K34" s="5">
        <f t="shared" si="2"/>
        <v>0</v>
      </c>
    </row>
    <row r="35" spans="1:11" x14ac:dyDescent="0.3">
      <c r="A35" s="17" t="s">
        <v>132</v>
      </c>
      <c r="B35" s="2" t="s">
        <v>63</v>
      </c>
      <c r="C35" s="2" t="s">
        <v>133</v>
      </c>
      <c r="D35" s="2" t="s">
        <v>134</v>
      </c>
      <c r="E35" s="22">
        <v>3843</v>
      </c>
      <c r="F35" s="25">
        <v>3843</v>
      </c>
      <c r="G35" s="22" t="s">
        <v>16</v>
      </c>
      <c r="H35" s="2" t="s">
        <v>34</v>
      </c>
      <c r="I35" s="14">
        <f t="shared" si="0"/>
        <v>30217</v>
      </c>
      <c r="J35" s="14">
        <f t="shared" si="1"/>
        <v>27576</v>
      </c>
      <c r="K35" s="5">
        <f t="shared" si="2"/>
        <v>5083</v>
      </c>
    </row>
    <row r="36" spans="1:11" x14ac:dyDescent="0.3">
      <c r="A36" s="18" t="s">
        <v>135</v>
      </c>
      <c r="B36" s="1" t="s">
        <v>66</v>
      </c>
      <c r="C36" s="1" t="s">
        <v>136</v>
      </c>
      <c r="D36" s="1" t="s">
        <v>137</v>
      </c>
      <c r="E36" s="21">
        <v>7504</v>
      </c>
      <c r="F36" s="24">
        <v>7504</v>
      </c>
      <c r="G36" s="21" t="s">
        <v>131</v>
      </c>
      <c r="H36" s="1" t="s">
        <v>34</v>
      </c>
      <c r="I36" s="14">
        <f t="shared" si="0"/>
        <v>26374</v>
      </c>
      <c r="J36" s="14">
        <f t="shared" si="1"/>
        <v>23733</v>
      </c>
      <c r="K36" s="5">
        <f t="shared" si="2"/>
        <v>0</v>
      </c>
    </row>
    <row r="37" spans="1:11" x14ac:dyDescent="0.3">
      <c r="A37" s="17" t="s">
        <v>138</v>
      </c>
      <c r="B37" s="2" t="s">
        <v>26</v>
      </c>
      <c r="C37" s="2" t="s">
        <v>17</v>
      </c>
      <c r="D37" s="2" t="s">
        <v>139</v>
      </c>
      <c r="E37" s="22">
        <v>2179</v>
      </c>
      <c r="F37" s="25">
        <v>2179</v>
      </c>
      <c r="G37" s="22" t="s">
        <v>140</v>
      </c>
      <c r="H37" s="2" t="s">
        <v>34</v>
      </c>
      <c r="I37" s="14">
        <f t="shared" si="0"/>
        <v>18870</v>
      </c>
      <c r="J37" s="14">
        <f t="shared" si="1"/>
        <v>16229</v>
      </c>
      <c r="K37" s="5">
        <f t="shared" si="2"/>
        <v>0</v>
      </c>
    </row>
    <row r="38" spans="1:11" x14ac:dyDescent="0.3">
      <c r="A38" s="18" t="s">
        <v>141</v>
      </c>
      <c r="B38" s="1" t="s">
        <v>26</v>
      </c>
      <c r="C38" s="1" t="s">
        <v>142</v>
      </c>
      <c r="D38" s="1" t="s">
        <v>143</v>
      </c>
      <c r="E38" s="21">
        <v>3856</v>
      </c>
      <c r="F38" s="24">
        <v>3856</v>
      </c>
      <c r="G38" s="21" t="s">
        <v>134</v>
      </c>
      <c r="H38" s="1" t="s">
        <v>34</v>
      </c>
      <c r="I38" s="14">
        <f t="shared" si="0"/>
        <v>16691</v>
      </c>
      <c r="J38" s="14">
        <f t="shared" si="1"/>
        <v>14050</v>
      </c>
      <c r="K38" s="5">
        <f t="shared" si="2"/>
        <v>0</v>
      </c>
    </row>
    <row r="39" spans="1:11" x14ac:dyDescent="0.3">
      <c r="A39" s="17" t="s">
        <v>144</v>
      </c>
      <c r="B39" s="2" t="s">
        <v>48</v>
      </c>
      <c r="C39" s="2" t="s">
        <v>145</v>
      </c>
      <c r="D39" s="2" t="s">
        <v>146</v>
      </c>
      <c r="E39" s="22">
        <v>2641</v>
      </c>
      <c r="F39" s="25">
        <v>0</v>
      </c>
      <c r="G39" s="22" t="s">
        <v>27</v>
      </c>
      <c r="H39" s="2" t="s">
        <v>42</v>
      </c>
      <c r="I39" s="14">
        <f t="shared" si="0"/>
        <v>12835</v>
      </c>
      <c r="J39" s="14">
        <f t="shared" si="1"/>
        <v>10194</v>
      </c>
      <c r="K39" s="5">
        <f t="shared" si="2"/>
        <v>0</v>
      </c>
    </row>
    <row r="40" spans="1:11" x14ac:dyDescent="0.3">
      <c r="A40" s="18" t="s">
        <v>147</v>
      </c>
      <c r="B40" s="1" t="s">
        <v>39</v>
      </c>
      <c r="C40" s="1" t="s">
        <v>148</v>
      </c>
      <c r="D40" s="1" t="s">
        <v>149</v>
      </c>
      <c r="E40" s="21">
        <v>5048</v>
      </c>
      <c r="F40" s="24">
        <v>5048</v>
      </c>
      <c r="G40" s="21" t="s">
        <v>150</v>
      </c>
      <c r="H40" s="1" t="s">
        <v>34</v>
      </c>
      <c r="I40" s="14">
        <f t="shared" si="0"/>
        <v>10194</v>
      </c>
      <c r="J40" s="14">
        <f t="shared" si="1"/>
        <v>10194</v>
      </c>
      <c r="K40" s="5">
        <f t="shared" si="2"/>
        <v>2641</v>
      </c>
    </row>
    <row r="41" spans="1:11" x14ac:dyDescent="0.3">
      <c r="A41" s="19" t="s">
        <v>151</v>
      </c>
      <c r="B41" s="4" t="s">
        <v>66</v>
      </c>
      <c r="C41" s="4" t="s">
        <v>152</v>
      </c>
      <c r="D41" s="4" t="s">
        <v>153</v>
      </c>
      <c r="E41" s="23">
        <v>5146</v>
      </c>
      <c r="F41" s="26">
        <v>5146</v>
      </c>
      <c r="G41" s="23" t="s">
        <v>143</v>
      </c>
      <c r="H41" s="4" t="s">
        <v>34</v>
      </c>
      <c r="I41" s="15">
        <f t="shared" si="0"/>
        <v>5146</v>
      </c>
      <c r="J41" s="15">
        <f t="shared" si="1"/>
        <v>5146</v>
      </c>
      <c r="K41" s="7">
        <f t="shared" si="2"/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435D-D701-467F-85B6-39C0BEA21B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Invoice Tracker</vt:lpstr>
      <vt:lpstr>Client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najmiehsadat safarabadi</cp:lastModifiedBy>
  <dcterms:created xsi:type="dcterms:W3CDTF">2026-10-26T15:13:15Z</dcterms:created>
  <dcterms:modified xsi:type="dcterms:W3CDTF">2026-10-26T15:45:09Z</dcterms:modified>
</cp:coreProperties>
</file>